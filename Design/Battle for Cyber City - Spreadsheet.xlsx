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/>
  <xr:revisionPtr revIDLastSave="0" documentId="11_9B0E418C738B7A8096AD1BF375675A33D50AA47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amerules" sheetId="1" r:id="rId1"/>
    <sheet name="gameplc-mappings" sheetId="2" r:id="rId2"/>
    <sheet name="gamedistricts" sheetId="3" r:id="rId3"/>
    <sheet name="dataroles" sheetId="4" r:id="rId4"/>
    <sheet name="dataability_matches" sheetId="5" r:id="rId5"/>
    <sheet name="dataevents" sheetId="6" r:id="rId6"/>
  </sheets>
  <definedNames>
    <definedName name="_xlnm._FilterDatabase" localSheetId="5" hidden="1">dataevents!$A$1:$E$100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3" i="3" l="1"/>
  <c r="F83" i="3"/>
  <c r="E83" i="3"/>
  <c r="D83" i="3"/>
  <c r="C83" i="3"/>
  <c r="B83" i="3"/>
  <c r="G82" i="3"/>
  <c r="F82" i="3"/>
  <c r="E82" i="3"/>
  <c r="D82" i="3"/>
  <c r="C82" i="3"/>
  <c r="B82" i="3"/>
  <c r="G81" i="3"/>
  <c r="F81" i="3"/>
  <c r="E81" i="3"/>
  <c r="D81" i="3"/>
  <c r="C81" i="3"/>
  <c r="B81" i="3"/>
  <c r="G80" i="3"/>
  <c r="F80" i="3"/>
  <c r="E80" i="3"/>
  <c r="D80" i="3"/>
  <c r="C80" i="3"/>
  <c r="B80" i="3"/>
  <c r="G79" i="3"/>
  <c r="F79" i="3"/>
  <c r="E79" i="3"/>
  <c r="D79" i="3"/>
  <c r="C79" i="3"/>
  <c r="B79" i="3"/>
  <c r="G78" i="3"/>
  <c r="F78" i="3"/>
  <c r="E78" i="3"/>
  <c r="D78" i="3"/>
  <c r="C78" i="3"/>
  <c r="B78" i="3"/>
  <c r="G77" i="3"/>
  <c r="F77" i="3"/>
  <c r="E77" i="3"/>
  <c r="D77" i="3"/>
  <c r="C77" i="3"/>
  <c r="B77" i="3"/>
  <c r="G76" i="3"/>
  <c r="F76" i="3"/>
  <c r="E76" i="3"/>
  <c r="D76" i="3"/>
  <c r="C76" i="3"/>
  <c r="B76" i="3"/>
  <c r="G75" i="3"/>
  <c r="F75" i="3"/>
  <c r="E75" i="3"/>
  <c r="D75" i="3"/>
  <c r="C75" i="3"/>
  <c r="B75" i="3"/>
  <c r="G61" i="3"/>
  <c r="F61" i="3"/>
  <c r="E61" i="3"/>
  <c r="D61" i="3"/>
  <c r="C61" i="3"/>
  <c r="B61" i="3"/>
  <c r="G60" i="3"/>
  <c r="F60" i="3"/>
  <c r="E60" i="3"/>
  <c r="D60" i="3"/>
  <c r="C60" i="3"/>
  <c r="B60" i="3"/>
  <c r="G59" i="3"/>
  <c r="F59" i="3"/>
  <c r="E59" i="3"/>
  <c r="D59" i="3"/>
  <c r="C59" i="3"/>
  <c r="B59" i="3"/>
  <c r="G58" i="3"/>
  <c r="F58" i="3"/>
  <c r="E58" i="3"/>
  <c r="D58" i="3"/>
  <c r="C58" i="3"/>
  <c r="B58" i="3"/>
  <c r="G57" i="3"/>
  <c r="F57" i="3"/>
  <c r="E57" i="3"/>
  <c r="D57" i="3"/>
  <c r="C57" i="3"/>
  <c r="B57" i="3"/>
  <c r="G56" i="3"/>
  <c r="F56" i="3"/>
  <c r="E56" i="3"/>
  <c r="D56" i="3"/>
  <c r="C56" i="3"/>
  <c r="B56" i="3"/>
  <c r="G55" i="3"/>
  <c r="F55" i="3"/>
  <c r="E55" i="3"/>
  <c r="D55" i="3"/>
  <c r="C55" i="3"/>
  <c r="B55" i="3"/>
  <c r="G54" i="3"/>
  <c r="F54" i="3"/>
  <c r="E54" i="3"/>
  <c r="D54" i="3"/>
  <c r="C54" i="3"/>
  <c r="B54" i="3"/>
  <c r="G51" i="3"/>
  <c r="F51" i="3"/>
  <c r="E51" i="3"/>
  <c r="D51" i="3"/>
  <c r="C51" i="3"/>
  <c r="B51" i="3"/>
  <c r="E50" i="3"/>
  <c r="D50" i="3"/>
  <c r="C50" i="3"/>
  <c r="B50" i="3"/>
  <c r="G49" i="3"/>
  <c r="E49" i="3"/>
  <c r="C49" i="3"/>
  <c r="G48" i="3"/>
  <c r="F48" i="3"/>
  <c r="E48" i="3"/>
  <c r="D48" i="3"/>
  <c r="C48" i="3"/>
  <c r="B48" i="3"/>
  <c r="G47" i="3"/>
  <c r="F47" i="3"/>
  <c r="E47" i="3"/>
  <c r="D47" i="3"/>
  <c r="C47" i="3"/>
  <c r="F46" i="3"/>
  <c r="E46" i="3"/>
  <c r="B46" i="3"/>
  <c r="G45" i="3"/>
  <c r="F45" i="3"/>
  <c r="D45" i="3"/>
  <c r="B45" i="3"/>
  <c r="G44" i="3"/>
  <c r="F44" i="3"/>
  <c r="E44" i="3"/>
  <c r="D44" i="3"/>
  <c r="C44" i="3"/>
  <c r="B44" i="3"/>
  <c r="G41" i="3"/>
  <c r="F41" i="3"/>
  <c r="E41" i="3"/>
  <c r="D41" i="3"/>
  <c r="C41" i="3"/>
  <c r="B41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D29" i="3"/>
  <c r="C29" i="3"/>
  <c r="B29" i="3"/>
  <c r="G28" i="3"/>
  <c r="F28" i="3"/>
  <c r="E28" i="3"/>
  <c r="D28" i="3"/>
  <c r="C28" i="3"/>
  <c r="B28" i="3"/>
  <c r="G27" i="3"/>
  <c r="F27" i="3"/>
  <c r="E27" i="3"/>
  <c r="D27" i="3"/>
  <c r="C27" i="3"/>
  <c r="B27" i="3"/>
  <c r="G26" i="3"/>
  <c r="F26" i="3"/>
  <c r="E26" i="3"/>
  <c r="D26" i="3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1" i="3"/>
  <c r="F21" i="3"/>
  <c r="E21" i="3"/>
  <c r="D21" i="3"/>
  <c r="C21" i="3"/>
  <c r="B21" i="3"/>
  <c r="G20" i="3"/>
  <c r="F20" i="3"/>
  <c r="E20" i="3"/>
  <c r="D20" i="3"/>
  <c r="C20" i="3"/>
  <c r="B20" i="3"/>
  <c r="G19" i="3"/>
  <c r="F19" i="3"/>
  <c r="E19" i="3"/>
  <c r="D19" i="3"/>
  <c r="C19" i="3"/>
  <c r="B19" i="3"/>
  <c r="G18" i="3"/>
  <c r="F18" i="3"/>
  <c r="E18" i="3"/>
  <c r="D18" i="3"/>
  <c r="C18" i="3"/>
  <c r="B18" i="3"/>
  <c r="G17" i="3"/>
  <c r="F17" i="3"/>
  <c r="E17" i="3"/>
  <c r="D17" i="3"/>
  <c r="C17" i="3"/>
  <c r="B17" i="3"/>
  <c r="G16" i="3"/>
  <c r="F16" i="3"/>
  <c r="E16" i="3"/>
  <c r="D16" i="3"/>
  <c r="C16" i="3"/>
  <c r="B16" i="3"/>
  <c r="G15" i="3"/>
  <c r="F15" i="3"/>
  <c r="E15" i="3"/>
  <c r="D15" i="3"/>
  <c r="C15" i="3"/>
  <c r="B15" i="3"/>
  <c r="G14" i="3"/>
  <c r="F14" i="3"/>
  <c r="E14" i="3"/>
  <c r="D14" i="3"/>
  <c r="C14" i="3"/>
  <c r="B14" i="3"/>
  <c r="G11" i="3"/>
  <c r="F11" i="3"/>
  <c r="E11" i="3"/>
  <c r="D11" i="3"/>
  <c r="C11" i="3"/>
  <c r="B11" i="3"/>
  <c r="G2" i="3"/>
  <c r="F2" i="3"/>
  <c r="E2" i="3"/>
  <c r="D2" i="3"/>
  <c r="C2" i="3"/>
  <c r="B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000-000002000000}">
      <text>
        <r>
          <rPr>
            <sz val="10"/>
            <color rgb="FF000000"/>
            <rFont val="Arial"/>
            <scheme val="minor"/>
          </rPr>
          <t>Maybe we give them a stipend for every round
	-Benjamin Bowles
Yes, this is a great idea. We can base it on compromise level.
	-Roland Catapia</t>
        </r>
      </text>
    </comment>
    <comment ref="C4" authorId="0" shapeId="0" xr:uid="{00000000-0006-0000-0000-000001000000}">
      <text>
        <r>
          <rPr>
            <sz val="10"/>
            <color rgb="FF000000"/>
            <rFont val="Arial"/>
            <scheme val="minor"/>
          </rPr>
          <t>stipend thing here too
	-Benjamin Bowles</t>
        </r>
      </text>
    </comment>
  </commentList>
</comments>
</file>

<file path=xl/sharedStrings.xml><?xml version="1.0" encoding="utf-8"?>
<sst xmlns="http://schemas.openxmlformats.org/spreadsheetml/2006/main" count="531" uniqueCount="127">
  <si>
    <t>Rule</t>
  </si>
  <si>
    <t>Description</t>
  </si>
  <si>
    <t>Turns</t>
  </si>
  <si>
    <r>
      <rPr>
        <sz val="10"/>
        <color rgb="FF000000"/>
        <rFont val="Arial"/>
      </rPr>
      <t xml:space="preserve">The game will last </t>
    </r>
    <r>
      <rPr>
        <b/>
        <sz val="10"/>
        <color rgb="FF000000"/>
        <rFont val="Arial"/>
      </rPr>
      <t>10 rounds</t>
    </r>
    <r>
      <rPr>
        <sz val="10"/>
        <color rgb="FF000000"/>
        <rFont val="Arial"/>
      </rPr>
      <t>, with each round consisting of a defender's turn followed by an attacker's turn.</t>
    </r>
  </si>
  <si>
    <t>Budget</t>
  </si>
  <si>
    <t>Defender</t>
  </si>
  <si>
    <t>Attacker</t>
  </si>
  <si>
    <t>Action per turn</t>
  </si>
  <si>
    <r>
      <rPr>
        <sz val="10"/>
        <color rgb="FF000000"/>
        <rFont val="Arial"/>
      </rPr>
      <t xml:space="preserve">Both players will have </t>
    </r>
    <r>
      <rPr>
        <b/>
        <sz val="10"/>
        <color rgb="FF000000"/>
        <rFont val="Arial"/>
      </rPr>
      <t>1 turn each round</t>
    </r>
    <r>
      <rPr>
        <sz val="10"/>
        <color rgb="FF000000"/>
        <rFont val="Arial"/>
      </rPr>
      <t xml:space="preserve"> and will have to decide on whether or not they want to </t>
    </r>
    <r>
      <rPr>
        <b/>
        <sz val="10"/>
        <color rgb="FF000000"/>
        <rFont val="Arial"/>
      </rPr>
      <t>spend their budget to attack or defend Cyber City's districts.</t>
    </r>
  </si>
  <si>
    <t>Defender's turn</t>
  </si>
  <si>
    <t>The defender will begin each turn deciding on whether or not they want spend their budget to increase protections on one or multiple districts.</t>
  </si>
  <si>
    <r>
      <rPr>
        <sz val="10"/>
        <color rgb="FF000000"/>
        <rFont val="Arial"/>
      </rPr>
      <t xml:space="preserve">When applying cyber security tools to districts that have been compromised, a </t>
    </r>
    <r>
      <rPr>
        <b/>
        <sz val="10"/>
        <color rgb="FF000000"/>
        <rFont val="Arial"/>
      </rPr>
      <t>virtual dice</t>
    </r>
    <r>
      <rPr>
        <sz val="10"/>
        <color rgb="FF000000"/>
        <rFont val="Arial"/>
      </rPr>
      <t xml:space="preserve"> will be rolled to </t>
    </r>
    <r>
      <rPr>
        <b/>
        <sz val="10"/>
        <color rgb="FF000000"/>
        <rFont val="Arial"/>
      </rPr>
      <t>determine the success rate</t>
    </r>
    <r>
      <rPr>
        <sz val="10"/>
        <color rgb="FF000000"/>
        <rFont val="Arial"/>
      </rPr>
      <t xml:space="preserve"> of the defense tactic.</t>
    </r>
  </si>
  <si>
    <t>Attacker's turn</t>
  </si>
  <si>
    <t>After the defender ends their turn, the attacker will have the chance to apply hacks to Cyber City establishments compromising Cyber City's critical infrastructure.</t>
  </si>
  <si>
    <r>
      <rPr>
        <sz val="10"/>
        <color rgb="FF000000"/>
        <rFont val="Arial"/>
      </rPr>
      <t>When the attacker applies a hack, a</t>
    </r>
    <r>
      <rPr>
        <b/>
        <sz val="10"/>
        <color rgb="FF000000"/>
        <rFont val="Arial"/>
      </rPr>
      <t xml:space="preserve"> virtual dice</t>
    </r>
    <r>
      <rPr>
        <sz val="10"/>
        <color rgb="FF000000"/>
        <rFont val="Arial"/>
      </rPr>
      <t xml:space="preserve"> will be rolled to </t>
    </r>
    <r>
      <rPr>
        <b/>
        <sz val="10"/>
        <color rgb="FF000000"/>
        <rFont val="Arial"/>
      </rPr>
      <t>determine the success rate</t>
    </r>
    <r>
      <rPr>
        <sz val="10"/>
        <color rgb="FF000000"/>
        <rFont val="Arial"/>
      </rPr>
      <t xml:space="preserve"> of the hack.</t>
    </r>
  </si>
  <si>
    <t>Compromise Threshold</t>
  </si>
  <si>
    <r>
      <rPr>
        <sz val="10"/>
        <color rgb="FF000000"/>
        <rFont val="Arial"/>
      </rPr>
      <t>When the attacker's</t>
    </r>
    <r>
      <rPr>
        <b/>
        <sz val="10"/>
        <color rgb="FF000000"/>
        <rFont val="Arial"/>
      </rPr>
      <t xml:space="preserve"> hacks are successful</t>
    </r>
    <r>
      <rPr>
        <sz val="10"/>
        <color rgb="FF000000"/>
        <rFont val="Arial"/>
      </rPr>
      <t xml:space="preserve">, the district attacked will have their </t>
    </r>
    <r>
      <rPr>
        <b/>
        <sz val="10"/>
        <color rgb="FF000000"/>
        <rFont val="Arial"/>
      </rPr>
      <t>compromised percentage increased</t>
    </r>
    <r>
      <rPr>
        <sz val="10"/>
        <color rgb="FF000000"/>
        <rFont val="Arial"/>
      </rPr>
      <t xml:space="preserve"> and the </t>
    </r>
    <r>
      <rPr>
        <b/>
        <sz val="10"/>
        <color rgb="FF000000"/>
        <rFont val="Arial"/>
      </rPr>
      <t>appropiate event will happen.</t>
    </r>
  </si>
  <si>
    <r>
      <rPr>
        <sz val="10"/>
        <color rgb="FF000000"/>
        <rFont val="Arial"/>
      </rPr>
      <t xml:space="preserve">When the </t>
    </r>
    <r>
      <rPr>
        <b/>
        <sz val="10"/>
        <color rgb="FF000000"/>
        <rFont val="Arial"/>
      </rPr>
      <t>defender's tools are successfull</t>
    </r>
    <r>
      <rPr>
        <sz val="10"/>
        <color rgb="FF000000"/>
        <rFont val="Arial"/>
      </rPr>
      <t xml:space="preserve">, the districts </t>
    </r>
    <r>
      <rPr>
        <b/>
        <sz val="10"/>
        <color rgb="FF000000"/>
        <rFont val="Arial"/>
      </rPr>
      <t>compromised percentage will decrease</t>
    </r>
    <r>
      <rPr>
        <sz val="10"/>
        <color rgb="FF000000"/>
        <rFont val="Arial"/>
      </rPr>
      <t xml:space="preserve"> and the </t>
    </r>
    <r>
      <rPr>
        <b/>
        <sz val="10"/>
        <color rgb="FF000000"/>
        <rFont val="Arial"/>
      </rPr>
      <t>appropiate event will happen.</t>
    </r>
  </si>
  <si>
    <r>
      <rPr>
        <sz val="10"/>
        <color rgb="FF000000"/>
        <rFont val="Arial"/>
      </rPr>
      <t xml:space="preserve">When a district reaches a compromised percentage higher than </t>
    </r>
    <r>
      <rPr>
        <b/>
        <sz val="10"/>
        <color rgb="FF000000"/>
        <rFont val="Arial"/>
      </rPr>
      <t xml:space="preserve">75% </t>
    </r>
    <r>
      <rPr>
        <sz val="10"/>
        <color rgb="FF000000"/>
        <rFont val="Arial"/>
      </rPr>
      <t>the district will shut down for the remainder of the game.</t>
    </r>
  </si>
  <si>
    <t>Power (10.10.10.1)</t>
  </si>
  <si>
    <t>Coil</t>
  </si>
  <si>
    <t>Status</t>
  </si>
  <si>
    <t>Mapping</t>
  </si>
  <si>
    <t>Business District</t>
  </si>
  <si>
    <t>Hospital</t>
  </si>
  <si>
    <t>Police / Fire</t>
  </si>
  <si>
    <t>Industrial Area</t>
  </si>
  <si>
    <t>University</t>
  </si>
  <si>
    <t>Residential</t>
  </si>
  <si>
    <t>Hospital (10.10.10.2)</t>
  </si>
  <si>
    <t>Power</t>
  </si>
  <si>
    <t>Generator Running</t>
  </si>
  <si>
    <t>Police/Fire (10.10.10.3)</t>
  </si>
  <si>
    <t>Traffic (10.10.10.4)</t>
  </si>
  <si>
    <t>Green Light NS</t>
  </si>
  <si>
    <t>Yellow Light NS</t>
  </si>
  <si>
    <t>Red Light NS</t>
  </si>
  <si>
    <t>Green Light EW</t>
  </si>
  <si>
    <t>Yellow Light EW</t>
  </si>
  <si>
    <t>Red Light EW</t>
  </si>
  <si>
    <t>District</t>
  </si>
  <si>
    <t>Housing/Gov't</t>
  </si>
  <si>
    <t>Business/Commercial</t>
  </si>
  <si>
    <t>Industry/Manufacturing/Transportation</t>
  </si>
  <si>
    <t>Healthcare</t>
  </si>
  <si>
    <t>Police/Fire</t>
  </si>
  <si>
    <t>Compromised Level</t>
  </si>
  <si>
    <t>Attacks</t>
  </si>
  <si>
    <t>Man in the Middle (Steal Data)</t>
  </si>
  <si>
    <t>Malware (Steal Data)</t>
  </si>
  <si>
    <t>DDoS (Control)</t>
  </si>
  <si>
    <t>Phishing (Steal Data)</t>
  </si>
  <si>
    <t>Trojan (Control)</t>
  </si>
  <si>
    <t>Password Attack (Steal Data)</t>
  </si>
  <si>
    <t>Ransomware (Control)</t>
  </si>
  <si>
    <t>Attacks Cost</t>
  </si>
  <si>
    <t>RAW COST</t>
  </si>
  <si>
    <t>RAW COST SUM</t>
  </si>
  <si>
    <t>RAW MODIFIER</t>
  </si>
  <si>
    <t>RAW MODIFIER SUM</t>
  </si>
  <si>
    <t>Protections</t>
  </si>
  <si>
    <t>Data Encryption</t>
  </si>
  <si>
    <t>Anti-Malware</t>
  </si>
  <si>
    <t>Firewall</t>
  </si>
  <si>
    <t>Trust Zones</t>
  </si>
  <si>
    <t>Honey Pot</t>
  </si>
  <si>
    <t>Multifactor Authentication</t>
  </si>
  <si>
    <t>Audit Devices &amp; Assets</t>
  </si>
  <si>
    <t>Protections Cost</t>
  </si>
  <si>
    <t>Events</t>
  </si>
  <si>
    <t>secure_network</t>
  </si>
  <si>
    <t>grid_control</t>
  </si>
  <si>
    <t>power_source</t>
  </si>
  <si>
    <t>cipher_text</t>
  </si>
  <si>
    <t>activity_detected</t>
  </si>
  <si>
    <t>normal_traffic</t>
  </si>
  <si>
    <t>unknown_access</t>
  </si>
  <si>
    <t>rouge_access</t>
  </si>
  <si>
    <t>all_go</t>
  </si>
  <si>
    <t>stopped_traffic</t>
  </si>
  <si>
    <t>lights_out</t>
  </si>
  <si>
    <t>transformer_down</t>
  </si>
  <si>
    <t>Events Logic</t>
  </si>
  <si>
    <t>Ability</t>
  </si>
  <si>
    <t>Cost</t>
  </si>
  <si>
    <t>Compromise Modifier</t>
  </si>
  <si>
    <t>Defender Ability</t>
  </si>
  <si>
    <t>Attacker Ability</t>
  </si>
  <si>
    <t>Modifier Percentage</t>
  </si>
  <si>
    <t>Event</t>
  </si>
  <si>
    <t>Alert Text</t>
  </si>
  <si>
    <t>Mode</t>
  </si>
  <si>
    <t>Effect</t>
  </si>
  <si>
    <t>Serverity</t>
  </si>
  <si>
    <t>Modes</t>
  </si>
  <si>
    <t>Effects</t>
  </si>
  <si>
    <t>Severity</t>
  </si>
  <si>
    <t>Multiple accidents reported in the area.</t>
  </si>
  <si>
    <t>Negative</t>
  </si>
  <si>
    <t>Traffic - All Green</t>
  </si>
  <si>
    <t>High</t>
  </si>
  <si>
    <t>Positive</t>
  </si>
  <si>
    <t>Power-off</t>
  </si>
  <si>
    <t>Low</t>
  </si>
  <si>
    <t>Data breach attempts have been blocked!</t>
  </si>
  <si>
    <t>N/A</t>
  </si>
  <si>
    <t>Power-on</t>
  </si>
  <si>
    <t>Medium</t>
  </si>
  <si>
    <t>Power has been restored!</t>
  </si>
  <si>
    <t>Critical</t>
  </si>
  <si>
    <t>Generator-off</t>
  </si>
  <si>
    <t>Multiple reports of a power outage!</t>
  </si>
  <si>
    <t>Generator-on</t>
  </si>
  <si>
    <t>Road traffic is flowing smoothly!</t>
  </si>
  <si>
    <t>Traffic - Normal</t>
  </si>
  <si>
    <t>Generators are up and running!</t>
  </si>
  <si>
    <t>Traffic - All Red</t>
  </si>
  <si>
    <t>Network traffic is being manipulated!</t>
  </si>
  <si>
    <t>Trafiic - Flashing  Red</t>
  </si>
  <si>
    <t>Traffic is backed up on multiple streets!</t>
  </si>
  <si>
    <t>sus_traffic</t>
  </si>
  <si>
    <t>Road traffic is acting suspicious!</t>
  </si>
  <si>
    <t>Traffic - Random</t>
  </si>
  <si>
    <t xml:space="preserve">Back-up Generators were destroyed! </t>
  </si>
  <si>
    <t>Unknown access detected!</t>
  </si>
  <si>
    <t>District is completely protected!</t>
  </si>
  <si>
    <t>District under surveillance!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</si>
</sst>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name val="Arial"/>
    </font>
    <font>
      <sz val="10"/>
      <color rgb="FF000000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  <font>
      <i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274E13"/>
      <name val="Arial"/>
      <scheme val="minor"/>
    </font>
    <font>
      <b/>
      <sz val="14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/>
    <xf numFmtId="164" fontId="1" fillId="0" borderId="1" xfId="0" applyNumberFormat="1" applyFont="1" applyBorder="1"/>
    <xf numFmtId="164" fontId="3" fillId="0" borderId="4" xfId="0" applyNumberFormat="1" applyFont="1" applyBorder="1"/>
    <xf numFmtId="164" fontId="3" fillId="0" borderId="5" xfId="0" applyNumberFormat="1" applyFont="1" applyBorder="1"/>
    <xf numFmtId="164" fontId="3" fillId="0" borderId="0" xfId="0" applyNumberFormat="1" applyFont="1"/>
    <xf numFmtId="164" fontId="1" fillId="0" borderId="6" xfId="0" applyNumberFormat="1" applyFont="1" applyBorder="1"/>
    <xf numFmtId="164" fontId="1" fillId="0" borderId="5" xfId="0" applyNumberFormat="1" applyFont="1" applyBorder="1"/>
    <xf numFmtId="164" fontId="3" fillId="0" borderId="8" xfId="0" applyNumberFormat="1" applyFont="1" applyBorder="1"/>
    <xf numFmtId="164" fontId="3" fillId="0" borderId="9" xfId="0" applyNumberFormat="1" applyFont="1" applyBorder="1"/>
    <xf numFmtId="164" fontId="3" fillId="0" borderId="6" xfId="0" applyNumberFormat="1" applyFont="1" applyBorder="1" applyAlignment="1">
      <alignment horizontal="right"/>
    </xf>
    <xf numFmtId="164" fontId="3" fillId="0" borderId="5" xfId="0" applyNumberFormat="1" applyFont="1" applyBorder="1" applyAlignment="1">
      <alignment horizontal="right"/>
    </xf>
    <xf numFmtId="164" fontId="3" fillId="0" borderId="10" xfId="0" applyNumberFormat="1" applyFont="1" applyBorder="1"/>
    <xf numFmtId="164" fontId="3" fillId="0" borderId="11" xfId="0" applyNumberFormat="1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7" xfId="0" applyFont="1" applyBorder="1"/>
    <xf numFmtId="0" fontId="3" fillId="0" borderId="18" xfId="0" applyFont="1" applyBorder="1" applyAlignment="1">
      <alignment horizontal="right"/>
    </xf>
    <xf numFmtId="0" fontId="3" fillId="0" borderId="0" xfId="0" applyFont="1"/>
    <xf numFmtId="0" fontId="1" fillId="0" borderId="19" xfId="0" applyFont="1" applyBorder="1"/>
    <xf numFmtId="0" fontId="3" fillId="0" borderId="10" xfId="0" applyFont="1" applyBorder="1" applyAlignment="1">
      <alignment horizontal="right"/>
    </xf>
    <xf numFmtId="0" fontId="1" fillId="0" borderId="17" xfId="0" applyFont="1" applyBorder="1"/>
    <xf numFmtId="0" fontId="4" fillId="0" borderId="19" xfId="0" applyFont="1" applyBorder="1"/>
    <xf numFmtId="0" fontId="4" fillId="0" borderId="17" xfId="0" applyFont="1" applyBorder="1"/>
    <xf numFmtId="0" fontId="5" fillId="0" borderId="8" xfId="0" applyFont="1" applyBorder="1"/>
    <xf numFmtId="0" fontId="6" fillId="0" borderId="9" xfId="0" applyFont="1" applyBorder="1"/>
    <xf numFmtId="0" fontId="6" fillId="0" borderId="16" xfId="0" applyFont="1" applyBorder="1"/>
    <xf numFmtId="0" fontId="5" fillId="0" borderId="13" xfId="0" applyFont="1" applyBorder="1"/>
    <xf numFmtId="9" fontId="7" fillId="0" borderId="14" xfId="0" applyNumberFormat="1" applyFont="1" applyBorder="1"/>
    <xf numFmtId="9" fontId="7" fillId="0" borderId="15" xfId="0" applyNumberFormat="1" applyFont="1" applyBorder="1"/>
    <xf numFmtId="0" fontId="7" fillId="3" borderId="18" xfId="0" applyFont="1" applyFill="1" applyBorder="1"/>
    <xf numFmtId="0" fontId="7" fillId="3" borderId="0" xfId="0" applyFont="1" applyFill="1"/>
    <xf numFmtId="0" fontId="7" fillId="3" borderId="19" xfId="0" applyFont="1" applyFill="1" applyBorder="1"/>
    <xf numFmtId="0" fontId="7" fillId="3" borderId="10" xfId="0" applyFont="1" applyFill="1" applyBorder="1"/>
    <xf numFmtId="0" fontId="5" fillId="3" borderId="13" xfId="0" applyFont="1" applyFill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9" fontId="8" fillId="0" borderId="0" xfId="0" applyNumberFormat="1" applyFont="1" applyAlignment="1">
      <alignment horizontal="right"/>
    </xf>
    <xf numFmtId="0" fontId="4" fillId="0" borderId="8" xfId="0" applyFont="1" applyBorder="1" applyAlignment="1">
      <alignment horizontal="right"/>
    </xf>
    <xf numFmtId="0" fontId="7" fillId="0" borderId="9" xfId="0" applyFont="1" applyBorder="1"/>
    <xf numFmtId="0" fontId="7" fillId="0" borderId="16" xfId="0" applyFont="1" applyBorder="1"/>
    <xf numFmtId="9" fontId="8" fillId="0" borderId="18" xfId="0" applyNumberFormat="1" applyFont="1" applyBorder="1" applyAlignment="1">
      <alignment horizontal="right"/>
    </xf>
    <xf numFmtId="164" fontId="7" fillId="0" borderId="20" xfId="0" applyNumberFormat="1" applyFont="1" applyBorder="1"/>
    <xf numFmtId="164" fontId="7" fillId="0" borderId="16" xfId="0" applyNumberFormat="1" applyFont="1" applyBorder="1"/>
    <xf numFmtId="164" fontId="7" fillId="0" borderId="21" xfId="0" applyNumberFormat="1" applyFont="1" applyBorder="1"/>
    <xf numFmtId="164" fontId="7" fillId="0" borderId="19" xfId="0" applyNumberFormat="1" applyFont="1" applyBorder="1"/>
    <xf numFmtId="164" fontId="7" fillId="0" borderId="22" xfId="0" applyNumberFormat="1" applyFont="1" applyBorder="1"/>
    <xf numFmtId="164" fontId="7" fillId="0" borderId="17" xfId="0" applyNumberFormat="1" applyFont="1" applyBorder="1"/>
    <xf numFmtId="0" fontId="5" fillId="0" borderId="18" xfId="0" applyFont="1" applyBorder="1" applyAlignment="1">
      <alignment horizontal="right"/>
    </xf>
    <xf numFmtId="164" fontId="7" fillId="0" borderId="23" xfId="0" applyNumberFormat="1" applyFont="1" applyBorder="1"/>
    <xf numFmtId="0" fontId="7" fillId="0" borderId="18" xfId="0" applyFont="1" applyBorder="1"/>
    <xf numFmtId="0" fontId="7" fillId="0" borderId="19" xfId="0" applyFont="1" applyBorder="1"/>
    <xf numFmtId="3" fontId="7" fillId="0" borderId="20" xfId="0" applyNumberFormat="1" applyFont="1" applyBorder="1"/>
    <xf numFmtId="3" fontId="7" fillId="0" borderId="21" xfId="0" applyNumberFormat="1" applyFont="1" applyBorder="1"/>
    <xf numFmtId="3" fontId="7" fillId="0" borderId="22" xfId="0" applyNumberFormat="1" applyFont="1" applyBorder="1"/>
    <xf numFmtId="0" fontId="5" fillId="0" borderId="10" xfId="0" applyFont="1" applyBorder="1" applyAlignment="1">
      <alignment horizontal="right"/>
    </xf>
    <xf numFmtId="9" fontId="7" fillId="0" borderId="22" xfId="0" applyNumberFormat="1" applyFont="1" applyBorder="1"/>
    <xf numFmtId="0" fontId="7" fillId="4" borderId="18" xfId="0" applyFont="1" applyFill="1" applyBorder="1"/>
    <xf numFmtId="0" fontId="7" fillId="4" borderId="0" xfId="0" applyFont="1" applyFill="1"/>
    <xf numFmtId="0" fontId="7" fillId="4" borderId="19" xfId="0" applyFont="1" applyFill="1" applyBorder="1"/>
    <xf numFmtId="0" fontId="9" fillId="5" borderId="0" xfId="0" applyFont="1" applyFill="1"/>
    <xf numFmtId="0" fontId="9" fillId="5" borderId="19" xfId="0" applyFont="1" applyFill="1" applyBorder="1"/>
    <xf numFmtId="0" fontId="7" fillId="4" borderId="10" xfId="0" applyFont="1" applyFill="1" applyBorder="1"/>
    <xf numFmtId="0" fontId="7" fillId="4" borderId="11" xfId="0" applyFont="1" applyFill="1" applyBorder="1"/>
    <xf numFmtId="0" fontId="9" fillId="5" borderId="11" xfId="0" applyFont="1" applyFill="1" applyBorder="1"/>
    <xf numFmtId="0" fontId="9" fillId="5" borderId="17" xfId="0" applyFont="1" applyFill="1" applyBorder="1"/>
    <xf numFmtId="0" fontId="5" fillId="4" borderId="13" xfId="0" applyFont="1" applyFill="1" applyBorder="1"/>
    <xf numFmtId="164" fontId="7" fillId="4" borderId="14" xfId="0" applyNumberFormat="1" applyFont="1" applyFill="1" applyBorder="1"/>
    <xf numFmtId="164" fontId="7" fillId="4" borderId="15" xfId="0" applyNumberFormat="1" applyFont="1" applyFill="1" applyBorder="1"/>
    <xf numFmtId="0" fontId="5" fillId="0" borderId="8" xfId="0" applyFont="1" applyBorder="1" applyAlignment="1">
      <alignment horizontal="right"/>
    </xf>
    <xf numFmtId="164" fontId="7" fillId="5" borderId="21" xfId="0" applyNumberFormat="1" applyFont="1" applyFill="1" applyBorder="1"/>
    <xf numFmtId="0" fontId="7" fillId="0" borderId="20" xfId="0" applyFont="1" applyBorder="1"/>
    <xf numFmtId="0" fontId="7" fillId="0" borderId="21" xfId="0" applyFont="1" applyBorder="1"/>
    <xf numFmtId="9" fontId="7" fillId="0" borderId="23" xfId="0" applyNumberFormat="1" applyFont="1" applyBorder="1"/>
    <xf numFmtId="9" fontId="7" fillId="0" borderId="18" xfId="0" applyNumberFormat="1" applyFont="1" applyBorder="1"/>
    <xf numFmtId="0" fontId="7" fillId="0" borderId="0" xfId="0" applyFont="1"/>
    <xf numFmtId="9" fontId="7" fillId="0" borderId="10" xfId="0" applyNumberFormat="1" applyFont="1" applyBorder="1"/>
    <xf numFmtId="0" fontId="7" fillId="0" borderId="11" xfId="0" applyFont="1" applyBorder="1"/>
    <xf numFmtId="0" fontId="7" fillId="0" borderId="17" xfId="0" applyFont="1" applyBorder="1"/>
    <xf numFmtId="49" fontId="5" fillId="0" borderId="13" xfId="0" applyNumberFormat="1" applyFont="1" applyBorder="1" applyAlignment="1">
      <alignment horizontal="right"/>
    </xf>
    <xf numFmtId="164" fontId="7" fillId="0" borderId="15" xfId="0" applyNumberFormat="1" applyFont="1" applyBorder="1"/>
    <xf numFmtId="3" fontId="7" fillId="0" borderId="0" xfId="0" applyNumberFormat="1" applyFont="1"/>
    <xf numFmtId="3" fontId="7" fillId="0" borderId="19" xfId="0" applyNumberFormat="1" applyFont="1" applyBorder="1"/>
    <xf numFmtId="49" fontId="5" fillId="0" borderId="8" xfId="0" applyNumberFormat="1" applyFont="1" applyBorder="1"/>
    <xf numFmtId="164" fontId="5" fillId="0" borderId="9" xfId="0" applyNumberFormat="1" applyFont="1" applyBorder="1"/>
    <xf numFmtId="3" fontId="5" fillId="0" borderId="16" xfId="0" applyNumberFormat="1" applyFont="1" applyBorder="1"/>
    <xf numFmtId="49" fontId="7" fillId="0" borderId="18" xfId="0" applyNumberFormat="1" applyFont="1" applyBorder="1"/>
    <xf numFmtId="164" fontId="7" fillId="0" borderId="0" xfId="0" applyNumberFormat="1" applyFont="1"/>
    <xf numFmtId="49" fontId="7" fillId="0" borderId="10" xfId="0" applyNumberFormat="1" applyFont="1" applyBorder="1"/>
    <xf numFmtId="164" fontId="7" fillId="0" borderId="11" xfId="0" applyNumberFormat="1" applyFont="1" applyBorder="1"/>
    <xf numFmtId="3" fontId="7" fillId="0" borderId="17" xfId="0" applyNumberFormat="1" applyFont="1" applyBorder="1"/>
    <xf numFmtId="49" fontId="5" fillId="0" borderId="9" xfId="0" applyNumberFormat="1" applyFont="1" applyBorder="1"/>
    <xf numFmtId="9" fontId="5" fillId="0" borderId="16" xfId="0" applyNumberFormat="1" applyFont="1" applyBorder="1"/>
    <xf numFmtId="49" fontId="7" fillId="0" borderId="0" xfId="0" applyNumberFormat="1" applyFont="1"/>
    <xf numFmtId="9" fontId="7" fillId="0" borderId="19" xfId="0" applyNumberFormat="1" applyFont="1" applyBorder="1"/>
    <xf numFmtId="49" fontId="7" fillId="0" borderId="11" xfId="0" applyNumberFormat="1" applyFont="1" applyBorder="1"/>
    <xf numFmtId="9" fontId="7" fillId="0" borderId="17" xfId="0" applyNumberFormat="1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1" xfId="0" applyFont="1" applyBorder="1"/>
    <xf numFmtId="0" fontId="5" fillId="0" borderId="0" xfId="0" applyFont="1"/>
    <xf numFmtId="0" fontId="8" fillId="0" borderId="8" xfId="0" applyFont="1" applyBorder="1"/>
    <xf numFmtId="0" fontId="8" fillId="0" borderId="9" xfId="0" applyFont="1" applyBorder="1"/>
    <xf numFmtId="0" fontId="8" fillId="4" borderId="9" xfId="0" applyFont="1" applyFill="1" applyBorder="1"/>
    <xf numFmtId="0" fontId="8" fillId="6" borderId="9" xfId="0" applyFont="1" applyFill="1" applyBorder="1"/>
    <xf numFmtId="0" fontId="8" fillId="0" borderId="18" xfId="0" applyFont="1" applyBorder="1"/>
    <xf numFmtId="0" fontId="8" fillId="0" borderId="0" xfId="0" applyFont="1"/>
    <xf numFmtId="0" fontId="8" fillId="3" borderId="0" xfId="0" applyFont="1" applyFill="1"/>
    <xf numFmtId="0" fontId="8" fillId="6" borderId="0" xfId="0" applyFont="1" applyFill="1"/>
    <xf numFmtId="0" fontId="8" fillId="7" borderId="0" xfId="0" applyFont="1" applyFill="1"/>
    <xf numFmtId="0" fontId="8" fillId="8" borderId="0" xfId="0" applyFont="1" applyFill="1"/>
    <xf numFmtId="0" fontId="8" fillId="9" borderId="0" xfId="0" applyFont="1" applyFill="1"/>
    <xf numFmtId="0" fontId="8" fillId="10" borderId="18" xfId="0" applyFont="1" applyFill="1" applyBorder="1"/>
    <xf numFmtId="0" fontId="8" fillId="10" borderId="0" xfId="0" applyFont="1" applyFill="1"/>
    <xf numFmtId="0" fontId="1" fillId="0" borderId="8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49" fontId="10" fillId="0" borderId="13" xfId="0" applyNumberFormat="1" applyFont="1" applyBorder="1" applyAlignment="1">
      <alignment horizontal="center"/>
    </xf>
    <xf numFmtId="164" fontId="1" fillId="0" borderId="2" xfId="0" applyNumberFormat="1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164" fontId="3" fillId="0" borderId="5" xfId="0" applyNumberFormat="1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164" fontId="3" fillId="0" borderId="7" xfId="0" applyNumberFormat="1" applyFont="1" applyBorder="1" applyAlignment="1"/>
    <xf numFmtId="0" fontId="2" fillId="0" borderId="4" xfId="0" applyFont="1" applyBorder="1" applyAlignment="1"/>
    <xf numFmtId="164" fontId="3" fillId="2" borderId="5" xfId="0" applyNumberFormat="1" applyFont="1" applyFill="1" applyBorder="1" applyAlignment="1"/>
    <xf numFmtId="0" fontId="2" fillId="0" borderId="7" xfId="0" applyFont="1" applyBorder="1" applyAlignment="1"/>
    <xf numFmtId="164" fontId="3" fillId="0" borderId="0" xfId="0" applyNumberFormat="1" applyFont="1" applyAlignment="1"/>
    <xf numFmtId="0" fontId="0" fillId="0" borderId="0" xfId="0" applyAlignment="1"/>
    <xf numFmtId="0" fontId="2" fillId="0" borderId="12" xfId="0" applyFont="1" applyBorder="1" applyAlignment="1"/>
    <xf numFmtId="164" fontId="3" fillId="0" borderId="13" xfId="0" applyNumberFormat="1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2" fillId="0" borderId="9" xfId="0" applyFont="1" applyBorder="1" applyAlignment="1"/>
    <xf numFmtId="0" fontId="2" fillId="0" borderId="16" xfId="0" applyFont="1" applyBorder="1" applyAlignment="1"/>
    <xf numFmtId="0" fontId="2" fillId="0" borderId="19" xfId="0" applyFont="1" applyBorder="1" applyAlignment="1"/>
    <xf numFmtId="0" fontId="5" fillId="3" borderId="8" xfId="0" applyFont="1" applyFill="1" applyBorder="1" applyAlignment="1"/>
    <xf numFmtId="0" fontId="5" fillId="4" borderId="8" xfId="0" applyFont="1" applyFill="1" applyBorder="1" applyAlignment="1"/>
  </cellXfs>
  <cellStyles count="1">
    <cellStyle name="Normal" xfId="0" builtinId="0"/>
  </cellStyles>
  <dxfs count="5"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3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8.42578125" customWidth="1"/>
  </cols>
  <sheetData>
    <row r="1" spans="1:12">
      <c r="A1" s="1" t="s">
        <v>0</v>
      </c>
      <c r="B1" s="116" t="s">
        <v>1</v>
      </c>
      <c r="C1" s="117"/>
      <c r="D1" s="117"/>
      <c r="E1" s="117"/>
      <c r="F1" s="117"/>
      <c r="G1" s="117"/>
      <c r="H1" s="117"/>
      <c r="I1" s="117"/>
      <c r="J1" s="117"/>
      <c r="K1" s="117"/>
      <c r="L1" s="118"/>
    </row>
    <row r="2" spans="1:12">
      <c r="A2" s="2" t="s">
        <v>2</v>
      </c>
      <c r="B2" s="119" t="s">
        <v>3</v>
      </c>
      <c r="C2" s="120"/>
      <c r="D2" s="120"/>
      <c r="E2" s="120"/>
      <c r="F2" s="120"/>
      <c r="G2" s="120"/>
      <c r="H2" s="121"/>
      <c r="I2" s="4"/>
      <c r="J2" s="4"/>
      <c r="K2" s="4"/>
      <c r="L2" s="4"/>
    </row>
    <row r="3" spans="1:12">
      <c r="A3" s="122" t="s">
        <v>4</v>
      </c>
      <c r="B3" s="5" t="s">
        <v>5</v>
      </c>
      <c r="C3" s="6" t="s">
        <v>6</v>
      </c>
      <c r="D3" s="7"/>
      <c r="E3" s="8"/>
      <c r="F3" s="8"/>
      <c r="G3" s="8"/>
      <c r="H3" s="8"/>
      <c r="I3" s="4"/>
      <c r="J3" s="4"/>
      <c r="K3" s="4"/>
      <c r="L3" s="4"/>
    </row>
    <row r="4" spans="1:12">
      <c r="A4" s="123"/>
      <c r="B4" s="9">
        <v>5000</v>
      </c>
      <c r="C4" s="10">
        <v>5000</v>
      </c>
      <c r="D4" s="11"/>
      <c r="E4" s="12"/>
      <c r="F4" s="12"/>
      <c r="G4" s="12"/>
      <c r="H4" s="12"/>
      <c r="I4" s="3"/>
      <c r="J4" s="3"/>
      <c r="K4" s="3"/>
      <c r="L4" s="3"/>
    </row>
    <row r="5" spans="1:12">
      <c r="A5" s="2" t="s">
        <v>7</v>
      </c>
      <c r="B5" s="119" t="s">
        <v>8</v>
      </c>
      <c r="C5" s="120"/>
      <c r="D5" s="120"/>
      <c r="E5" s="120"/>
      <c r="F5" s="120"/>
      <c r="G5" s="120"/>
      <c r="H5" s="120"/>
      <c r="I5" s="120"/>
      <c r="J5" s="120"/>
      <c r="K5" s="120"/>
      <c r="L5" s="121"/>
    </row>
    <row r="6" spans="1:12">
      <c r="A6" s="122" t="s">
        <v>9</v>
      </c>
      <c r="B6" s="124" t="s">
        <v>10</v>
      </c>
      <c r="C6" s="120"/>
      <c r="D6" s="120"/>
      <c r="E6" s="120"/>
      <c r="F6" s="120"/>
      <c r="G6" s="120"/>
      <c r="H6" s="120"/>
      <c r="I6" s="120"/>
      <c r="J6" s="120"/>
      <c r="K6" s="120"/>
      <c r="L6" s="121"/>
    </row>
    <row r="7" spans="1:12">
      <c r="A7" s="123"/>
      <c r="B7" s="119" t="s">
        <v>11</v>
      </c>
      <c r="C7" s="120"/>
      <c r="D7" s="120"/>
      <c r="E7" s="120"/>
      <c r="F7" s="120"/>
      <c r="G7" s="120"/>
      <c r="H7" s="120"/>
      <c r="I7" s="120"/>
      <c r="J7" s="120"/>
      <c r="K7" s="120"/>
      <c r="L7" s="121"/>
    </row>
    <row r="8" spans="1:12">
      <c r="A8" s="122" t="s">
        <v>12</v>
      </c>
      <c r="B8" s="119" t="s">
        <v>13</v>
      </c>
      <c r="C8" s="120"/>
      <c r="D8" s="120"/>
      <c r="E8" s="120"/>
      <c r="F8" s="120"/>
      <c r="G8" s="120"/>
      <c r="H8" s="120"/>
      <c r="I8" s="120"/>
      <c r="J8" s="120"/>
      <c r="K8" s="120"/>
      <c r="L8" s="121"/>
    </row>
    <row r="9" spans="1:12">
      <c r="A9" s="123"/>
      <c r="B9" s="119" t="s">
        <v>14</v>
      </c>
      <c r="C9" s="120"/>
      <c r="D9" s="120"/>
      <c r="E9" s="120"/>
      <c r="F9" s="120"/>
      <c r="G9" s="120"/>
      <c r="H9" s="120"/>
      <c r="I9" s="120"/>
      <c r="J9" s="120"/>
      <c r="K9" s="120"/>
      <c r="L9" s="121"/>
    </row>
    <row r="10" spans="1:12">
      <c r="A10" s="122" t="s">
        <v>15</v>
      </c>
      <c r="B10" s="119" t="s">
        <v>16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1"/>
    </row>
    <row r="11" spans="1:12">
      <c r="A11" s="125"/>
      <c r="B11" s="126" t="s">
        <v>17</v>
      </c>
      <c r="C11" s="127"/>
      <c r="D11" s="127"/>
      <c r="E11" s="127"/>
      <c r="F11" s="127"/>
      <c r="G11" s="127"/>
      <c r="H11" s="127"/>
      <c r="I11" s="127"/>
      <c r="J11" s="127"/>
      <c r="K11" s="127"/>
      <c r="L11" s="128"/>
    </row>
    <row r="12" spans="1:12">
      <c r="A12" s="125"/>
      <c r="B12" s="129" t="s">
        <v>18</v>
      </c>
      <c r="C12" s="130"/>
      <c r="D12" s="130"/>
      <c r="E12" s="130"/>
      <c r="F12" s="130"/>
      <c r="G12" s="130"/>
      <c r="H12" s="130"/>
      <c r="I12" s="130"/>
      <c r="J12" s="130"/>
      <c r="K12" s="130"/>
      <c r="L12" s="131"/>
    </row>
    <row r="13" spans="1:12">
      <c r="A13" s="123"/>
      <c r="B13" s="129"/>
      <c r="C13" s="130"/>
      <c r="D13" s="130"/>
      <c r="E13" s="130"/>
      <c r="F13" s="130"/>
      <c r="G13" s="130"/>
      <c r="H13" s="130"/>
      <c r="I13" s="130"/>
      <c r="J13" s="130"/>
      <c r="K13" s="130"/>
      <c r="L13" s="131"/>
    </row>
  </sheetData>
  <mergeCells count="15">
    <mergeCell ref="B1:L1"/>
    <mergeCell ref="B2:H2"/>
    <mergeCell ref="A3:A4"/>
    <mergeCell ref="B5:L5"/>
    <mergeCell ref="A6:A7"/>
    <mergeCell ref="B6:L6"/>
    <mergeCell ref="B7:L7"/>
    <mergeCell ref="B8:L8"/>
    <mergeCell ref="A8:A9"/>
    <mergeCell ref="A10:A13"/>
    <mergeCell ref="B10:L10"/>
    <mergeCell ref="B11:L11"/>
    <mergeCell ref="B12:L12"/>
    <mergeCell ref="B13:L13"/>
    <mergeCell ref="B9:L9"/>
  </mergeCells>
  <pageMargins left="0" right="0" top="0" bottom="0" header="0" footer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7"/>
  <sheetViews>
    <sheetView workbookViewId="0"/>
  </sheetViews>
  <sheetFormatPr defaultColWidth="12.5703125" defaultRowHeight="15.75" customHeight="1"/>
  <cols>
    <col min="3" max="3" width="16.28515625" customWidth="1"/>
  </cols>
  <sheetData>
    <row r="1" spans="1:3">
      <c r="A1" s="113" t="s">
        <v>19</v>
      </c>
      <c r="B1" s="132"/>
      <c r="C1" s="133"/>
    </row>
    <row r="2" spans="1:3">
      <c r="A2" s="13" t="s">
        <v>20</v>
      </c>
      <c r="B2" s="14" t="s">
        <v>21</v>
      </c>
      <c r="C2" s="15" t="s">
        <v>22</v>
      </c>
    </row>
    <row r="3" spans="1:3">
      <c r="A3" s="16">
        <v>0</v>
      </c>
      <c r="B3" s="17" t="b">
        <v>0</v>
      </c>
      <c r="C3" s="18" t="s">
        <v>23</v>
      </c>
    </row>
    <row r="4" spans="1:3">
      <c r="A4" s="16">
        <v>1</v>
      </c>
      <c r="B4" s="17" t="b">
        <v>0</v>
      </c>
      <c r="C4" s="18" t="s">
        <v>24</v>
      </c>
    </row>
    <row r="5" spans="1:3">
      <c r="A5" s="16">
        <v>2</v>
      </c>
      <c r="B5" s="17" t="b">
        <v>0</v>
      </c>
      <c r="C5" s="18" t="s">
        <v>25</v>
      </c>
    </row>
    <row r="6" spans="1:3">
      <c r="A6" s="16">
        <v>3</v>
      </c>
      <c r="B6" s="17" t="b">
        <v>0</v>
      </c>
      <c r="C6" s="18" t="s">
        <v>26</v>
      </c>
    </row>
    <row r="7" spans="1:3">
      <c r="A7" s="16">
        <v>4</v>
      </c>
      <c r="B7" s="17" t="b">
        <v>0</v>
      </c>
      <c r="C7" s="18" t="s">
        <v>27</v>
      </c>
    </row>
    <row r="8" spans="1:3">
      <c r="A8" s="19">
        <v>5</v>
      </c>
      <c r="B8" s="14" t="b">
        <v>0</v>
      </c>
      <c r="C8" s="20" t="s">
        <v>28</v>
      </c>
    </row>
    <row r="9" spans="1:3">
      <c r="A9" s="14"/>
      <c r="B9" s="14"/>
      <c r="C9" s="14"/>
    </row>
    <row r="10" spans="1:3">
      <c r="A10" s="114" t="s">
        <v>29</v>
      </c>
      <c r="B10" s="127"/>
      <c r="C10" s="134"/>
    </row>
    <row r="11" spans="1:3">
      <c r="A11" s="13" t="s">
        <v>20</v>
      </c>
      <c r="B11" s="14" t="s">
        <v>21</v>
      </c>
      <c r="C11" s="15" t="s">
        <v>22</v>
      </c>
    </row>
    <row r="12" spans="1:3">
      <c r="A12" s="16">
        <v>0</v>
      </c>
      <c r="B12" s="17" t="b">
        <v>0</v>
      </c>
      <c r="C12" s="18" t="s">
        <v>30</v>
      </c>
    </row>
    <row r="13" spans="1:3">
      <c r="A13" s="19">
        <v>1</v>
      </c>
      <c r="B13" s="14" t="b">
        <v>0</v>
      </c>
      <c r="C13" s="20" t="s">
        <v>31</v>
      </c>
    </row>
    <row r="14" spans="1:3">
      <c r="A14" s="14"/>
      <c r="B14" s="14"/>
      <c r="C14" s="14"/>
    </row>
    <row r="15" spans="1:3">
      <c r="A15" s="114" t="s">
        <v>32</v>
      </c>
      <c r="B15" s="127"/>
      <c r="C15" s="134"/>
    </row>
    <row r="16" spans="1:3">
      <c r="A16" s="13" t="s">
        <v>20</v>
      </c>
      <c r="B16" s="14" t="s">
        <v>21</v>
      </c>
      <c r="C16" s="15" t="s">
        <v>22</v>
      </c>
    </row>
    <row r="17" spans="1:3">
      <c r="A17" s="16">
        <v>0</v>
      </c>
      <c r="B17" s="17" t="b">
        <v>0</v>
      </c>
      <c r="C17" s="18" t="s">
        <v>30</v>
      </c>
    </row>
    <row r="18" spans="1:3">
      <c r="A18" s="19">
        <v>1</v>
      </c>
      <c r="B18" s="14" t="b">
        <v>0</v>
      </c>
      <c r="C18" s="20" t="s">
        <v>31</v>
      </c>
    </row>
    <row r="19" spans="1:3">
      <c r="A19" s="14"/>
      <c r="B19" s="14"/>
      <c r="C19" s="14"/>
    </row>
    <row r="20" spans="1:3">
      <c r="A20" s="114" t="s">
        <v>33</v>
      </c>
      <c r="B20" s="127"/>
      <c r="C20" s="134"/>
    </row>
    <row r="21" spans="1:3">
      <c r="A21" s="13" t="s">
        <v>20</v>
      </c>
      <c r="B21" s="14" t="s">
        <v>21</v>
      </c>
      <c r="C21" s="15" t="s">
        <v>22</v>
      </c>
    </row>
    <row r="22" spans="1:3">
      <c r="A22" s="16">
        <v>0</v>
      </c>
      <c r="B22" s="17" t="b">
        <v>0</v>
      </c>
      <c r="C22" s="21" t="s">
        <v>34</v>
      </c>
    </row>
    <row r="23" spans="1:3">
      <c r="A23" s="16">
        <v>1</v>
      </c>
      <c r="B23" s="17" t="b">
        <v>0</v>
      </c>
      <c r="C23" s="21" t="s">
        <v>35</v>
      </c>
    </row>
    <row r="24" spans="1:3">
      <c r="A24" s="16">
        <v>2</v>
      </c>
      <c r="B24" s="17" t="b">
        <v>0</v>
      </c>
      <c r="C24" s="21" t="s">
        <v>36</v>
      </c>
    </row>
    <row r="25" spans="1:3">
      <c r="A25" s="16">
        <v>3</v>
      </c>
      <c r="B25" s="17" t="b">
        <v>0</v>
      </c>
      <c r="C25" s="21" t="s">
        <v>37</v>
      </c>
    </row>
    <row r="26" spans="1:3">
      <c r="A26" s="16">
        <v>4</v>
      </c>
      <c r="B26" s="17" t="b">
        <v>0</v>
      </c>
      <c r="C26" s="21" t="s">
        <v>38</v>
      </c>
    </row>
    <row r="27" spans="1:3">
      <c r="A27" s="19">
        <v>5</v>
      </c>
      <c r="B27" s="14" t="b">
        <v>0</v>
      </c>
      <c r="C27" s="22" t="s">
        <v>39</v>
      </c>
    </row>
  </sheetData>
  <mergeCells count="4">
    <mergeCell ref="A1:C1"/>
    <mergeCell ref="A10:C10"/>
    <mergeCell ref="A15:C15"/>
    <mergeCell ref="A20:C20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83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outlineLevelRow="1"/>
  <cols>
    <col min="1" max="1" width="26.140625" customWidth="1"/>
    <col min="2" max="3" width="16.28515625" customWidth="1"/>
    <col min="4" max="4" width="17.140625" customWidth="1"/>
    <col min="5" max="5" width="29" customWidth="1"/>
    <col min="6" max="6" width="16.85546875" customWidth="1"/>
    <col min="7" max="7" width="17" customWidth="1"/>
  </cols>
  <sheetData>
    <row r="1" spans="1:7">
      <c r="A1" s="23" t="s">
        <v>40</v>
      </c>
      <c r="B1" s="24" t="s">
        <v>27</v>
      </c>
      <c r="C1" s="24" t="s">
        <v>41</v>
      </c>
      <c r="D1" s="24" t="s">
        <v>42</v>
      </c>
      <c r="E1" s="24" t="s">
        <v>43</v>
      </c>
      <c r="F1" s="24" t="s">
        <v>44</v>
      </c>
      <c r="G1" s="25" t="s">
        <v>45</v>
      </c>
    </row>
    <row r="2" spans="1:7">
      <c r="A2" s="26" t="s">
        <v>46</v>
      </c>
      <c r="B2" s="27">
        <f t="shared" ref="B2:G2" si="0">SUM(-B61+B31)</f>
        <v>-0.25</v>
      </c>
      <c r="C2" s="27">
        <f t="shared" si="0"/>
        <v>-0.6</v>
      </c>
      <c r="D2" s="27">
        <f t="shared" si="0"/>
        <v>-0.4</v>
      </c>
      <c r="E2" s="27">
        <f t="shared" si="0"/>
        <v>-0.3</v>
      </c>
      <c r="F2" s="27">
        <f t="shared" si="0"/>
        <v>-0.3</v>
      </c>
      <c r="G2" s="28">
        <f t="shared" si="0"/>
        <v>-0.5</v>
      </c>
    </row>
    <row r="3" spans="1:7">
      <c r="A3" s="135" t="s">
        <v>47</v>
      </c>
      <c r="B3" s="132"/>
      <c r="C3" s="132"/>
      <c r="D3" s="132"/>
      <c r="E3" s="132"/>
      <c r="F3" s="132"/>
      <c r="G3" s="133"/>
    </row>
    <row r="4" spans="1:7">
      <c r="A4" s="29" t="s">
        <v>48</v>
      </c>
      <c r="B4" s="30" t="b">
        <v>0</v>
      </c>
      <c r="C4" s="30" t="b">
        <v>0</v>
      </c>
      <c r="D4" s="30" t="b">
        <v>0</v>
      </c>
      <c r="E4" s="30" t="b">
        <v>0</v>
      </c>
      <c r="F4" s="30" t="b">
        <v>0</v>
      </c>
      <c r="G4" s="31" t="b">
        <v>0</v>
      </c>
    </row>
    <row r="5" spans="1:7">
      <c r="A5" s="29" t="s">
        <v>49</v>
      </c>
      <c r="B5" s="30" t="b">
        <v>0</v>
      </c>
      <c r="C5" s="30" t="b">
        <v>0</v>
      </c>
      <c r="D5" s="30" t="b">
        <v>0</v>
      </c>
      <c r="E5" s="30" t="b">
        <v>0</v>
      </c>
      <c r="F5" s="30" t="b">
        <v>0</v>
      </c>
      <c r="G5" s="31" t="b">
        <v>0</v>
      </c>
    </row>
    <row r="6" spans="1:7">
      <c r="A6" s="29" t="s">
        <v>50</v>
      </c>
      <c r="B6" s="30" t="b">
        <v>0</v>
      </c>
      <c r="C6" s="30" t="b">
        <v>0</v>
      </c>
      <c r="D6" s="30" t="b">
        <v>0</v>
      </c>
      <c r="E6" s="30" t="b">
        <v>0</v>
      </c>
      <c r="F6" s="30" t="b">
        <v>0</v>
      </c>
      <c r="G6" s="31" t="b">
        <v>0</v>
      </c>
    </row>
    <row r="7" spans="1:7">
      <c r="A7" s="29" t="s">
        <v>51</v>
      </c>
      <c r="B7" s="30" t="b">
        <v>0</v>
      </c>
      <c r="C7" s="30" t="b">
        <v>0</v>
      </c>
      <c r="D7" s="30" t="b">
        <v>0</v>
      </c>
      <c r="E7" s="30" t="b">
        <v>0</v>
      </c>
      <c r="F7" s="30" t="b">
        <v>0</v>
      </c>
      <c r="G7" s="31" t="b">
        <v>0</v>
      </c>
    </row>
    <row r="8" spans="1:7">
      <c r="A8" s="29" t="s">
        <v>52</v>
      </c>
      <c r="B8" s="30" t="b">
        <v>0</v>
      </c>
      <c r="C8" s="30" t="b">
        <v>0</v>
      </c>
      <c r="D8" s="30" t="b">
        <v>0</v>
      </c>
      <c r="E8" s="30" t="b">
        <v>0</v>
      </c>
      <c r="F8" s="30" t="b">
        <v>0</v>
      </c>
      <c r="G8" s="31" t="b">
        <v>0</v>
      </c>
    </row>
    <row r="9" spans="1:7">
      <c r="A9" s="29" t="s">
        <v>53</v>
      </c>
      <c r="B9" s="30" t="b">
        <v>0</v>
      </c>
      <c r="C9" s="30" t="b">
        <v>0</v>
      </c>
      <c r="D9" s="30" t="b">
        <v>0</v>
      </c>
      <c r="E9" s="30" t="b">
        <v>0</v>
      </c>
      <c r="F9" s="30" t="b">
        <v>0</v>
      </c>
      <c r="G9" s="31" t="b">
        <v>0</v>
      </c>
    </row>
    <row r="10" spans="1:7">
      <c r="A10" s="32" t="s">
        <v>54</v>
      </c>
      <c r="B10" s="30" t="b">
        <v>0</v>
      </c>
      <c r="C10" s="30" t="b">
        <v>0</v>
      </c>
      <c r="D10" s="30" t="b">
        <v>0</v>
      </c>
      <c r="E10" s="30" t="b">
        <v>0</v>
      </c>
      <c r="F10" s="30" t="b">
        <v>0</v>
      </c>
      <c r="G10" s="31" t="b">
        <v>0</v>
      </c>
    </row>
    <row r="11" spans="1:7">
      <c r="A11" s="33" t="s">
        <v>55</v>
      </c>
      <c r="B11" s="34">
        <f t="shared" ref="B11:G11" si="1">B21</f>
        <v>0</v>
      </c>
      <c r="C11" s="34">
        <f t="shared" si="1"/>
        <v>0</v>
      </c>
      <c r="D11" s="34">
        <f t="shared" si="1"/>
        <v>0</v>
      </c>
      <c r="E11" s="34">
        <f t="shared" si="1"/>
        <v>0</v>
      </c>
      <c r="F11" s="34">
        <f t="shared" si="1"/>
        <v>0</v>
      </c>
      <c r="G11" s="35">
        <f t="shared" si="1"/>
        <v>0</v>
      </c>
    </row>
    <row r="12" spans="1:7" collapsed="1">
      <c r="A12" s="36"/>
    </row>
    <row r="13" spans="1:7" hidden="1" outlineLevel="1">
      <c r="A13" s="37" t="s">
        <v>56</v>
      </c>
      <c r="B13" s="38"/>
      <c r="C13" s="38"/>
      <c r="D13" s="38"/>
      <c r="E13" s="38"/>
      <c r="F13" s="38"/>
      <c r="G13" s="39"/>
    </row>
    <row r="14" spans="1:7" hidden="1" outlineLevel="1">
      <c r="A14" s="40"/>
      <c r="B14" s="41" t="b">
        <f>IF(B4, IFERROR(VLOOKUP($A4,dataroles!$A$4:$C$10, 2, FALSE), FALSE))</f>
        <v>0</v>
      </c>
      <c r="C14" s="42" t="b">
        <f>IF(C4, IFERROR(VLOOKUP($A4,dataroles!$A$4:$C$10, 2, FALSE), FALSE))</f>
        <v>0</v>
      </c>
      <c r="D14" s="41" t="b">
        <f>IF(D4, IFERROR(VLOOKUP($A4,dataroles!$A$4:$C$10, 2, FALSE), FALSE))</f>
        <v>0</v>
      </c>
      <c r="E14" s="41" t="b">
        <f>IF(E4, IFERROR(VLOOKUP($A4,dataroles!$A$4:$C$10, 2, FALSE), FALSE))</f>
        <v>0</v>
      </c>
      <c r="F14" s="41" t="b">
        <f>IF(F4, IFERROR(VLOOKUP($A4,dataroles!$A$4:$C$10, 2, FALSE), FALSE))</f>
        <v>0</v>
      </c>
      <c r="G14" s="41" t="b">
        <f>IF(G4, IFERROR(VLOOKUP($A4,dataroles!$A$4:$C$10, 2, FALSE), FALSE))</f>
        <v>0</v>
      </c>
    </row>
    <row r="15" spans="1:7" hidden="1" outlineLevel="1">
      <c r="A15" s="40"/>
      <c r="B15" s="43" t="b">
        <f>IF(B5, IFERROR(VLOOKUP($A5,dataroles!$A$4:$C$10, 2, FALSE), FALSE))</f>
        <v>0</v>
      </c>
      <c r="C15" s="44" t="b">
        <f>IF(C5, IFERROR(VLOOKUP($A5,dataroles!$A$4:$C$10, 2, FALSE), FALSE))</f>
        <v>0</v>
      </c>
      <c r="D15" s="43" t="b">
        <f>IF(D5, IFERROR(VLOOKUP($A5,dataroles!$A$4:$C$10, 2, FALSE), FALSE))</f>
        <v>0</v>
      </c>
      <c r="E15" s="43" t="b">
        <f>IF(E5, IFERROR(VLOOKUP($A5,dataroles!$A$4:$C$10, 2, FALSE), FALSE))</f>
        <v>0</v>
      </c>
      <c r="F15" s="43" t="b">
        <f>IF(F5, IFERROR(VLOOKUP($A5,dataroles!$A$4:$C$10, 2, FALSE), FALSE))</f>
        <v>0</v>
      </c>
      <c r="G15" s="43" t="b">
        <f>IF(G5, IFERROR(VLOOKUP($A5,dataroles!$A$4:$C$10, 2, FALSE), FALSE))</f>
        <v>0</v>
      </c>
    </row>
    <row r="16" spans="1:7" hidden="1" outlineLevel="1">
      <c r="A16" s="40"/>
      <c r="B16" s="43" t="b">
        <f>IF(B6, IFERROR(VLOOKUP($A6,dataroles!$A$4:$C$10, 2, FALSE), FALSE))</f>
        <v>0</v>
      </c>
      <c r="C16" s="44" t="b">
        <f>IF(C6, IFERROR(VLOOKUP($A6,dataroles!$A$4:$C$10, 2, FALSE), FALSE))</f>
        <v>0</v>
      </c>
      <c r="D16" s="43" t="b">
        <f>IF(D6, IFERROR(VLOOKUP($A6,dataroles!$A$4:$C$10, 2, FALSE), FALSE))</f>
        <v>0</v>
      </c>
      <c r="E16" s="43" t="b">
        <f>IF(E6, IFERROR(VLOOKUP($A6,dataroles!$A$4:$C$10, 2, FALSE), FALSE))</f>
        <v>0</v>
      </c>
      <c r="F16" s="43" t="b">
        <f>IF(F6, IFERROR(VLOOKUP($A6,dataroles!$A$4:$C$10, 2, FALSE), FALSE))</f>
        <v>0</v>
      </c>
      <c r="G16" s="43" t="b">
        <f>IF(G6, IFERROR(VLOOKUP($A6,dataroles!$A$4:$C$10, 2, FALSE), FALSE))</f>
        <v>0</v>
      </c>
    </row>
    <row r="17" spans="1:7" hidden="1" outlineLevel="1">
      <c r="A17" s="40"/>
      <c r="B17" s="43" t="b">
        <f>IF(B7, IFERROR(VLOOKUP($A7,dataroles!$A$4:$C$10, 2, FALSE), FALSE))</f>
        <v>0</v>
      </c>
      <c r="C17" s="44" t="b">
        <f>IF(C7, IFERROR(VLOOKUP($A7,dataroles!$A$4:$C$10, 2, FALSE), FALSE))</f>
        <v>0</v>
      </c>
      <c r="D17" s="43" t="b">
        <f>IF(D7, IFERROR(VLOOKUP($A7,dataroles!$A$4:$C$10, 2, FALSE), FALSE))</f>
        <v>0</v>
      </c>
      <c r="E17" s="43" t="b">
        <f>IF(E7, IFERROR(VLOOKUP($A7,dataroles!$A$4:$C$10, 2, FALSE), FALSE))</f>
        <v>0</v>
      </c>
      <c r="F17" s="43" t="b">
        <f>IF(F7, IFERROR(VLOOKUP($A7,dataroles!$A$4:$C$10, 2, FALSE), FALSE))</f>
        <v>0</v>
      </c>
      <c r="G17" s="43" t="b">
        <f>IF(G7, IFERROR(VLOOKUP($A7,dataroles!$A$4:$C$10, 2, FALSE), FALSE))</f>
        <v>0</v>
      </c>
    </row>
    <row r="18" spans="1:7" hidden="1" outlineLevel="1">
      <c r="A18" s="40"/>
      <c r="B18" s="43" t="b">
        <f>IF(B8, IFERROR(VLOOKUP($A8,dataroles!$A$4:$C$10, 2, FALSE), FALSE))</f>
        <v>0</v>
      </c>
      <c r="C18" s="44" t="b">
        <f>IF(C8, IFERROR(VLOOKUP($A8,dataroles!$A$4:$C$10, 2, FALSE), FALSE))</f>
        <v>0</v>
      </c>
      <c r="D18" s="43" t="b">
        <f>IF(D8, IFERROR(VLOOKUP($A8,dataroles!$A$4:$C$10, 2, FALSE), FALSE))</f>
        <v>0</v>
      </c>
      <c r="E18" s="43" t="b">
        <f>IF(E8, IFERROR(VLOOKUP($A8,dataroles!$A$4:$C$10, 2, FALSE), FALSE))</f>
        <v>0</v>
      </c>
      <c r="F18" s="43" t="b">
        <f>IF(F8, IFERROR(VLOOKUP($A8,dataroles!$A$4:$C$10, 2, FALSE), FALSE))</f>
        <v>0</v>
      </c>
      <c r="G18" s="43" t="b">
        <f>IF(G8, IFERROR(VLOOKUP($A8,dataroles!$A$4:$C$10, 2, FALSE), FALSE))</f>
        <v>0</v>
      </c>
    </row>
    <row r="19" spans="1:7" hidden="1" outlineLevel="1">
      <c r="A19" s="40"/>
      <c r="B19" s="43" t="b">
        <f>IF(B9, IFERROR(VLOOKUP($A9,dataroles!$A$4:$C$10, 2, FALSE), FALSE))</f>
        <v>0</v>
      </c>
      <c r="C19" s="44" t="b">
        <f>IF(C9, IFERROR(VLOOKUP($A9,dataroles!$A$4:$C$10, 2, FALSE), FALSE))</f>
        <v>0</v>
      </c>
      <c r="D19" s="43" t="b">
        <f>IF(D9, IFERROR(VLOOKUP($A9,dataroles!$A$4:$C$10, 2, FALSE), FALSE))</f>
        <v>0</v>
      </c>
      <c r="E19" s="43" t="b">
        <f>IF(E9, IFERROR(VLOOKUP($A9,dataroles!$A$4:$C$10, 2, FALSE), FALSE))</f>
        <v>0</v>
      </c>
      <c r="F19" s="43" t="b">
        <f>IF(F9, IFERROR(VLOOKUP($A9,dataroles!$A$4:$C$10, 2, FALSE), FALSE))</f>
        <v>0</v>
      </c>
      <c r="G19" s="43" t="b">
        <f>IF(G9, IFERROR(VLOOKUP($A9,dataroles!$A$4:$C$10, 2, FALSE), FALSE))</f>
        <v>0</v>
      </c>
    </row>
    <row r="20" spans="1:7" hidden="1" outlineLevel="1">
      <c r="A20" s="40"/>
      <c r="B20" s="45" t="b">
        <f>IF(B10, IFERROR(VLOOKUP($A10,dataroles!$A$4:$C$10, 2, FALSE), FALSE))</f>
        <v>0</v>
      </c>
      <c r="C20" s="46" t="b">
        <f>IF(C10, IFERROR(VLOOKUP($A10,dataroles!$A$4:$C$10, 2, FALSE), FALSE))</f>
        <v>0</v>
      </c>
      <c r="D20" s="45" t="b">
        <f>IF(D10, IFERROR(VLOOKUP($A10,dataroles!$A$4:$C$10, 2, FALSE), FALSE))</f>
        <v>0</v>
      </c>
      <c r="E20" s="45" t="b">
        <f>IF(E10, IFERROR(VLOOKUP($A10,dataroles!$A$4:$C$10, 2, FALSE), FALSE))</f>
        <v>0</v>
      </c>
      <c r="F20" s="45" t="b">
        <f>IF(F10, IFERROR(VLOOKUP($A10,dataroles!$A$4:$C$10, 2, FALSE), FALSE))</f>
        <v>0</v>
      </c>
      <c r="G20" s="45" t="b">
        <f>IF(G10, IFERROR(VLOOKUP($A10,dataroles!$A$4:$C$10, 2, FALSE), FALSE))</f>
        <v>0</v>
      </c>
    </row>
    <row r="21" spans="1:7" hidden="1" outlineLevel="1">
      <c r="A21" s="47" t="s">
        <v>57</v>
      </c>
      <c r="B21" s="45">
        <f t="shared" ref="B21:G21" si="2">SUM(B14:B20)</f>
        <v>0</v>
      </c>
      <c r="C21" s="48">
        <f t="shared" si="2"/>
        <v>0</v>
      </c>
      <c r="D21" s="48">
        <f t="shared" si="2"/>
        <v>0</v>
      </c>
      <c r="E21" s="48">
        <f t="shared" si="2"/>
        <v>0</v>
      </c>
      <c r="F21" s="48">
        <f t="shared" si="2"/>
        <v>0</v>
      </c>
      <c r="G21" s="48">
        <f t="shared" si="2"/>
        <v>0</v>
      </c>
    </row>
    <row r="22" spans="1:7" hidden="1" outlineLevel="1">
      <c r="A22" s="49"/>
      <c r="G22" s="50"/>
    </row>
    <row r="23" spans="1:7" hidden="1" outlineLevel="1">
      <c r="A23" s="47" t="s">
        <v>58</v>
      </c>
      <c r="G23" s="50"/>
    </row>
    <row r="24" spans="1:7" hidden="1" outlineLevel="1">
      <c r="A24" s="49"/>
      <c r="B24" s="51" t="b">
        <f>IFERROR(__xludf.DUMMYFUNCTION("IF(B4, IF( 
VLOOKUP(ARRAYFORMULA(VLOOKUP($A4, QUERY(dataability_matches!$A$2:$C$8, ""SELECT B, A, C""), 2, False)), $A$34:$G$40, 2, False),
VLOOKUP($A4 ,dataroles!$A$4:$C$10, 3, False)*ARRAYFORMULA(VLOOKUP($A4, QUERY(dataability_matches!$A$2:$C$8, ""SELEC"&amp;"T B, A, C""), 3, False)),
VLOOKUP($A4 ,dataroles!$A$4:$C$10, 3, False)))"),FALSE)</f>
        <v>0</v>
      </c>
      <c r="C24" s="51" t="b">
        <f>IFERROR(__xludf.DUMMYFUNCTION("IF(C4, IF( 
VLOOKUP(ARRAYFORMULA(VLOOKUP($A4, QUERY(dataability_matches!$A$2:$C$8, ""SELECT B, A, C""), 2, False)), $A$34:$G$40, 3, False),
VLOOKUP($A4 ,dataroles!$A$4:$C$10, 3, False)*ARRAYFORMULA(VLOOKUP($A4, QUERY(dataability_matches!$A$2:$C$8, ""SELEC"&amp;"T B, A, C""), 3, False)),
VLOOKUP($A4 ,dataroles!$A$4:$C$10, 3, False)))"),FALSE)</f>
        <v>0</v>
      </c>
      <c r="D24" s="51" t="b">
        <f>IFERROR(__xludf.DUMMYFUNCTION("IF(D4, IF( 
VLOOKUP(ARRAYFORMULA(VLOOKUP($A4, QUERY(dataability_matches!$A$2:$C$8, ""SELECT B, A, C""), 2, False)), $A$34:$G$40, 4, False),
VLOOKUP($A4 ,dataroles!$A$4:$C$10, 3, False)*ARRAYFORMULA(VLOOKUP($A4, QUERY(dataability_matches!$A$2:$C$8, ""SELEC"&amp;"T B, A, C""), 3, False)),
VLOOKUP($A4 ,dataroles!$A$4:$C$10, 3, False)))"),FALSE)</f>
        <v>0</v>
      </c>
      <c r="E24" s="51" t="b">
        <f>IFERROR(__xludf.DUMMYFUNCTION("IF(E4, IF( 
VLOOKUP(ARRAYFORMULA(VLOOKUP($A4, QUERY(dataability_matches!$A$2:$C$8, ""SELECT B, A, C""), 2, False)), $A$34:$G$40, 5, False),
VLOOKUP($A4 ,dataroles!$A$4:$C$10, 3, False)*ARRAYFORMULA(VLOOKUP($A4, QUERY(dataability_matches!$A$2:$C$8, ""SELEC"&amp;"T B, A, C""), 3, False)),
VLOOKUP($A4 ,dataroles!$A$4:$C$10, 3, False)))"),FALSE)</f>
        <v>0</v>
      </c>
      <c r="F24" s="51" t="b">
        <f>IFERROR(__xludf.DUMMYFUNCTION("IF(F4, IF( 
VLOOKUP(ARRAYFORMULA(VLOOKUP($A4, QUERY(dataability_matches!$A$2:$C$8, ""SELECT B, A, C""), 2, False)), $A$34:$G$40, 6, False),
VLOOKUP($A4 ,dataroles!$A$4:$C$10, 3, False)*ARRAYFORMULA(VLOOKUP($A4, QUERY(dataability_matches!$A$2:$C$8, ""SELEC"&amp;"T B, A, C""), 3, False)),
VLOOKUP($A4 ,dataroles!$A$4:$C$10, 3, False)))"),FALSE)</f>
        <v>0</v>
      </c>
      <c r="G24" s="51" t="b">
        <f>IFERROR(__xludf.DUMMYFUNCTION("IF(G4, IF( 
VLOOKUP(ARRAYFORMULA(VLOOKUP($A4, QUERY(dataability_matches!$A$2:$C$8, ""SELECT B, A, C""), 2, False)), $A$34:$G$40, 7, False),
VLOOKUP($A4 ,dataroles!$A$4:$C$10, 3, False)*ARRAYFORMULA(VLOOKUP($A4, QUERY(dataability_matches!$A$2:$C$8, ""SELEC"&amp;"T B, A, C""), 3, False)),
VLOOKUP($A4 ,dataroles!$A$4:$C$10, 3, False)))"),FALSE)</f>
        <v>0</v>
      </c>
    </row>
    <row r="25" spans="1:7" hidden="1" outlineLevel="1">
      <c r="A25" s="49"/>
      <c r="B25" s="52" t="b">
        <f>IFERROR(__xludf.DUMMYFUNCTION("IF(B5, IF( 
VLOOKUP(ARRAYFORMULA(VLOOKUP($A5, QUERY(dataability_matches!$A$2:$C$8, ""SELECT B, A, C""), 2, False)), $A$34:$G$40, 2, False),
VLOOKUP($A5 ,dataroles!$A$4:$C$10, 3, False)*ARRAYFORMULA(VLOOKUP($A5, QUERY(dataability_matches!$A$2:$C$8, ""SELEC"&amp;"T B, A, C""), 3, False)),
VLOOKUP($A5 ,dataroles!$A$4:$C$10, 3, False)))"),FALSE)</f>
        <v>0</v>
      </c>
      <c r="C25" s="52" t="b">
        <f>IFERROR(__xludf.DUMMYFUNCTION("IF(C5, IF( 
VLOOKUP(ARRAYFORMULA(VLOOKUP($A5, QUERY(dataability_matches!$A$2:$C$8, ""SELECT B, A, C""), 2, False)), $A$34:$G$40, 3, False),
VLOOKUP($A5 ,dataroles!$A$4:$C$10, 3, False)*ARRAYFORMULA(VLOOKUP($A5, QUERY(dataability_matches!$A$2:$C$8, ""SELEC"&amp;"T B, A, C""), 3, False)),
VLOOKUP($A5 ,dataroles!$A$4:$C$10, 3, False)))"),FALSE)</f>
        <v>0</v>
      </c>
      <c r="D25" s="52" t="b">
        <f>IFERROR(__xludf.DUMMYFUNCTION("IF(D5, IF( 
VLOOKUP(ARRAYFORMULA(VLOOKUP($A5, QUERY(dataability_matches!$A$2:$C$8, ""SELECT B, A, C""), 2, False)), $A$34:$G$40, 4, False),
VLOOKUP($A5 ,dataroles!$A$4:$C$10, 3, False)*ARRAYFORMULA(VLOOKUP($A5, QUERY(dataability_matches!$A$2:$C$8, ""SELEC"&amp;"T B, A, C""), 3, False)),
VLOOKUP($A5 ,dataroles!$A$4:$C$10, 3, False)))"),FALSE)</f>
        <v>0</v>
      </c>
      <c r="E25" s="52" t="b">
        <f>IFERROR(__xludf.DUMMYFUNCTION("IF(E5, IF( 
VLOOKUP(ARRAYFORMULA(VLOOKUP($A5, QUERY(dataability_matches!$A$2:$C$8, ""SELECT B, A, C""), 2, False)), $A$34:$G$40, 5, False),
VLOOKUP($A5 ,dataroles!$A$4:$C$10, 3, False)*ARRAYFORMULA(VLOOKUP($A5, QUERY(dataability_matches!$A$2:$C$8, ""SELEC"&amp;"T B, A, C""), 3, False)),
VLOOKUP($A5 ,dataroles!$A$4:$C$10, 3, False)))"),FALSE)</f>
        <v>0</v>
      </c>
      <c r="F25" s="52" t="b">
        <f>IFERROR(__xludf.DUMMYFUNCTION("IF(F5, IF( 
VLOOKUP(ARRAYFORMULA(VLOOKUP($A5, QUERY(dataability_matches!$A$2:$C$8, ""SELECT B, A, C""), 2, False)), $A$34:$G$40, 6, False),
VLOOKUP($A5 ,dataroles!$A$4:$C$10, 3, False)*ARRAYFORMULA(VLOOKUP($A5, QUERY(dataability_matches!$A$2:$C$8, ""SELEC"&amp;"T B, A, C""), 3, False)),
VLOOKUP($A5 ,dataroles!$A$4:$C$10, 3, False)))"),FALSE)</f>
        <v>0</v>
      </c>
      <c r="G25" s="52" t="b">
        <f>IFERROR(__xludf.DUMMYFUNCTION("IF(G5, IF( 
VLOOKUP(ARRAYFORMULA(VLOOKUP($A5, QUERY(dataability_matches!$A$2:$C$8, ""SELECT B, A, C""), 2, False)), $A$34:$G$40, 7, False),
VLOOKUP($A5 ,dataroles!$A$4:$C$10, 3, False)*ARRAYFORMULA(VLOOKUP($A5, QUERY(dataability_matches!$A$2:$C$8, ""SELEC"&amp;"T B, A, C""), 3, False)),
VLOOKUP($A5 ,dataroles!$A$4:$C$10, 3, False)))"),FALSE)</f>
        <v>0</v>
      </c>
    </row>
    <row r="26" spans="1:7" hidden="1" outlineLevel="1">
      <c r="A26" s="49"/>
      <c r="B26" s="52" t="b">
        <f>IFERROR(__xludf.DUMMYFUNCTION("IF(B6, IF( 
VLOOKUP(ARRAYFORMULA(VLOOKUP($A6, QUERY(dataability_matches!$A$2:$C$8, ""SELECT B, A, C""), 2, False)), $A$34:$G$40, 2, False),
VLOOKUP($A6 ,dataroles!$A$4:$C$10, 3, False)*ARRAYFORMULA(VLOOKUP($A6, QUERY(dataability_matches!$A$2:$C$8, ""SELEC"&amp;"T B, A, C""), 3, False)),
VLOOKUP($A6 ,dataroles!$A$4:$C$10, 3, False)))"),FALSE)</f>
        <v>0</v>
      </c>
      <c r="C26" s="52" t="b">
        <f>IFERROR(__xludf.DUMMYFUNCTION("IF(C6, IF( 
VLOOKUP(ARRAYFORMULA(VLOOKUP($A6, QUERY(dataability_matches!$A$2:$C$8, ""SELECT B, A, C""), 2, False)), $A$34:$G$40, 3, False),
VLOOKUP($A6 ,dataroles!$A$4:$C$10, 3, False)*ARRAYFORMULA(VLOOKUP($A6, QUERY(dataability_matches!$A$2:$C$8, ""SELEC"&amp;"T B, A, C""), 3, False)),
VLOOKUP($A6 ,dataroles!$A$4:$C$10, 3, False)))"),FALSE)</f>
        <v>0</v>
      </c>
      <c r="D26" s="52" t="b">
        <f>IFERROR(__xludf.DUMMYFUNCTION("IF(D6, IF( 
VLOOKUP(ARRAYFORMULA(VLOOKUP($A6, QUERY(dataability_matches!$A$2:$C$8, ""SELECT B, A, C""), 2, False)), $A$34:$G$40, 4, False),
VLOOKUP($A6 ,dataroles!$A$4:$C$10, 3, False)*ARRAYFORMULA(VLOOKUP($A6, QUERY(dataability_matches!$A$2:$C$8, ""SELEC"&amp;"T B, A, C""), 3, False)),
VLOOKUP($A6 ,dataroles!$A$4:$C$10, 3, False)))"),FALSE)</f>
        <v>0</v>
      </c>
      <c r="E26" s="52" t="b">
        <f>IFERROR(__xludf.DUMMYFUNCTION("IF(E6, IF( 
VLOOKUP(ARRAYFORMULA(VLOOKUP($A6, QUERY(dataability_matches!$A$2:$C$8, ""SELECT B, A, C""), 2, False)), $A$34:$G$40, 5, False),
VLOOKUP($A6 ,dataroles!$A$4:$C$10, 3, False)*ARRAYFORMULA(VLOOKUP($A6, QUERY(dataability_matches!$A$2:$C$8, ""SELEC"&amp;"T B, A, C""), 3, False)),
VLOOKUP($A6 ,dataroles!$A$4:$C$10, 3, False)))"),FALSE)</f>
        <v>0</v>
      </c>
      <c r="F26" s="52" t="b">
        <f>IFERROR(__xludf.DUMMYFUNCTION("IF(F6, IF( 
VLOOKUP(ARRAYFORMULA(VLOOKUP($A6, QUERY(dataability_matches!$A$2:$C$8, ""SELECT B, A, C""), 2, False)), $A$34:$G$40, 6, False),
VLOOKUP($A6 ,dataroles!$A$4:$C$10, 3, False)*ARRAYFORMULA(VLOOKUP($A6, QUERY(dataability_matches!$A$2:$C$8, ""SELEC"&amp;"T B, A, C""), 3, False)),
VLOOKUP($A6 ,dataroles!$A$4:$C$10, 3, False)))"),FALSE)</f>
        <v>0</v>
      </c>
      <c r="G26" s="52" t="b">
        <f>IFERROR(__xludf.DUMMYFUNCTION("IF(G6, IF( 
VLOOKUP(ARRAYFORMULA(VLOOKUP($A6, QUERY(dataability_matches!$A$2:$C$8, ""SELECT B, A, C""), 2, False)), $A$34:$G$40, 7, False),
VLOOKUP($A6 ,dataroles!$A$4:$C$10, 3, False)*ARRAYFORMULA(VLOOKUP($A6, QUERY(dataability_matches!$A$2:$C$8, ""SELEC"&amp;"T B, A, C""), 3, False)),
VLOOKUP($A6 ,dataroles!$A$4:$C$10, 3, False)))"),FALSE)</f>
        <v>0</v>
      </c>
    </row>
    <row r="27" spans="1:7" hidden="1" outlineLevel="1">
      <c r="A27" s="49"/>
      <c r="B27" s="52" t="b">
        <f>IFERROR(__xludf.DUMMYFUNCTION("IF(B7, IF( 
VLOOKUP(ARRAYFORMULA(VLOOKUP($A7, QUERY(dataability_matches!$A$2:$C$8, ""SELECT B, A, C""), 2, False)), $A$34:$G$40, 2, False),
VLOOKUP($A7 ,dataroles!$A$4:$C$10, 3, False)*ARRAYFORMULA(VLOOKUP($A7, QUERY(dataability_matches!$A$2:$C$8, ""SELEC"&amp;"T B, A, C""), 3, False)),
VLOOKUP($A7 ,dataroles!$A$4:$C$10, 3, False)))"),FALSE)</f>
        <v>0</v>
      </c>
      <c r="C27" s="52" t="b">
        <f>IFERROR(__xludf.DUMMYFUNCTION("IF(C7, IF( 
VLOOKUP(ARRAYFORMULA(VLOOKUP($A7, QUERY(dataability_matches!$A$2:$C$8, ""SELECT B, A, C""), 2, False)), $A$34:$G$40, 3, False),
VLOOKUP($A7 ,dataroles!$A$4:$C$10, 3, False)*ARRAYFORMULA(VLOOKUP($A7, QUERY(dataability_matches!$A$2:$C$8, ""SELEC"&amp;"T B, A, C""), 3, False)),
VLOOKUP($A7 ,dataroles!$A$4:$C$10, 3, False)))"),FALSE)</f>
        <v>0</v>
      </c>
      <c r="D27" s="52" t="b">
        <f>IFERROR(__xludf.DUMMYFUNCTION("IF(D7, IF( 
VLOOKUP(ARRAYFORMULA(VLOOKUP($A7, QUERY(dataability_matches!$A$2:$C$8, ""SELECT B, A, C""), 2, False)), $A$34:$G$40, 4, False),
VLOOKUP($A7 ,dataroles!$A$4:$C$10, 3, False)*ARRAYFORMULA(VLOOKUP($A7, QUERY(dataability_matches!$A$2:$C$8, ""SELEC"&amp;"T B, A, C""), 3, False)),
VLOOKUP($A7 ,dataroles!$A$4:$C$10, 3, False)))"),FALSE)</f>
        <v>0</v>
      </c>
      <c r="E27" s="52" t="b">
        <f>IFERROR(__xludf.DUMMYFUNCTION("IF(E7, IF( 
VLOOKUP(ARRAYFORMULA(VLOOKUP($A7, QUERY(dataability_matches!$A$2:$C$8, ""SELECT B, A, C""), 2, False)), $A$34:$G$40, 5, False),
VLOOKUP($A7 ,dataroles!$A$4:$C$10, 3, False)*ARRAYFORMULA(VLOOKUP($A7, QUERY(dataability_matches!$A$2:$C$8, ""SELEC"&amp;"T B, A, C""), 3, False)),
VLOOKUP($A7 ,dataroles!$A$4:$C$10, 3, False)))"),FALSE)</f>
        <v>0</v>
      </c>
      <c r="F27" s="52" t="b">
        <f>IFERROR(__xludf.DUMMYFUNCTION("IF(F7, IF( 
VLOOKUP(ARRAYFORMULA(VLOOKUP($A7, QUERY(dataability_matches!$A$2:$C$8, ""SELECT B, A, C""), 2, False)), $A$34:$G$40, 6, False),
VLOOKUP($A7 ,dataroles!$A$4:$C$10, 3, False)*ARRAYFORMULA(VLOOKUP($A7, QUERY(dataability_matches!$A$2:$C$8, ""SELEC"&amp;"T B, A, C""), 3, False)),
VLOOKUP($A7 ,dataroles!$A$4:$C$10, 3, False)))"),FALSE)</f>
        <v>0</v>
      </c>
      <c r="G27" s="52" t="b">
        <f>IFERROR(__xludf.DUMMYFUNCTION("IF(G7, IF( 
VLOOKUP(ARRAYFORMULA(VLOOKUP($A7, QUERY(dataability_matches!$A$2:$C$8, ""SELECT B, A, C""), 2, False)), $A$34:$G$40, 7, False),
VLOOKUP($A7 ,dataroles!$A$4:$C$10, 3, False)*ARRAYFORMULA(VLOOKUP($A7, QUERY(dataability_matches!$A$2:$C$8, ""SELEC"&amp;"T B, A, C""), 3, False)),
VLOOKUP($A7 ,dataroles!$A$4:$C$10, 3, False)))"),FALSE)</f>
        <v>0</v>
      </c>
    </row>
    <row r="28" spans="1:7" hidden="1" outlineLevel="1">
      <c r="A28" s="49"/>
      <c r="B28" s="52" t="b">
        <f>IFERROR(__xludf.DUMMYFUNCTION("IF(B8, IF( 
VLOOKUP(ARRAYFORMULA(VLOOKUP($A8, QUERY(dataability_matches!$A$2:$C$8, ""SELECT B, A, C""), 2, False)), $A$34:$G$40, 2, False),
VLOOKUP($A8 ,dataroles!$A$4:$C$10, 3, False)*ARRAYFORMULA(VLOOKUP($A8, QUERY(dataability_matches!$A$2:$C$8, ""SELEC"&amp;"T B, A, C""), 3, False)),
VLOOKUP($A8 ,dataroles!$A$4:$C$10, 3, False)))"),FALSE)</f>
        <v>0</v>
      </c>
      <c r="C28" s="52" t="b">
        <f>IFERROR(__xludf.DUMMYFUNCTION("IF(C8, IF( 
VLOOKUP(ARRAYFORMULA(VLOOKUP($A8, QUERY(dataability_matches!$A$2:$C$8, ""SELECT B, A, C""), 2, False)), $A$34:$G$40, 3, False),
VLOOKUP($A8 ,dataroles!$A$4:$C$10, 3, False)*ARRAYFORMULA(VLOOKUP($A8, QUERY(dataability_matches!$A$2:$C$8, ""SELEC"&amp;"T B, A, C""), 3, False)),
VLOOKUP($A8 ,dataroles!$A$4:$C$10, 3, False)))"),FALSE)</f>
        <v>0</v>
      </c>
      <c r="D28" s="52" t="b">
        <f>IFERROR(__xludf.DUMMYFUNCTION("IF(D8, IF( 
VLOOKUP(ARRAYFORMULA(VLOOKUP($A8, QUERY(dataability_matches!$A$2:$C$8, ""SELECT B, A, C""), 2, False)), $A$34:$G$40, 4, False),
VLOOKUP($A8 ,dataroles!$A$4:$C$10, 3, False)*ARRAYFORMULA(VLOOKUP($A8, QUERY(dataability_matches!$A$2:$C$8, ""SELEC"&amp;"T B, A, C""), 3, False)),
VLOOKUP($A8 ,dataroles!$A$4:$C$10, 3, False)))"),FALSE)</f>
        <v>0</v>
      </c>
      <c r="E28" s="52" t="b">
        <f>IFERROR(__xludf.DUMMYFUNCTION("IF(E8, IF( 
VLOOKUP(ARRAYFORMULA(VLOOKUP($A8, QUERY(dataability_matches!$A$2:$C$8, ""SELECT B, A, C""), 2, False)), $A$34:$G$40, 5, False),
VLOOKUP($A8 ,dataroles!$A$4:$C$10, 3, False)*ARRAYFORMULA(VLOOKUP($A8, QUERY(dataability_matches!$A$2:$C$8, ""SELEC"&amp;"T B, A, C""), 3, False)),
VLOOKUP($A8 ,dataroles!$A$4:$C$10, 3, False)))"),FALSE)</f>
        <v>0</v>
      </c>
      <c r="F28" s="52" t="b">
        <f>IFERROR(__xludf.DUMMYFUNCTION("IF(F8, IF( 
VLOOKUP(ARRAYFORMULA(VLOOKUP($A8, QUERY(dataability_matches!$A$2:$C$8, ""SELECT B, A, C""), 2, False)), $A$34:$G$40, 6, False),
VLOOKUP($A8 ,dataroles!$A$4:$C$10, 3, False)*ARRAYFORMULA(VLOOKUP($A8, QUERY(dataability_matches!$A$2:$C$8, ""SELEC"&amp;"T B, A, C""), 3, False)),
VLOOKUP($A8 ,dataroles!$A$4:$C$10, 3, False)))"),FALSE)</f>
        <v>0</v>
      </c>
      <c r="G28" s="52" t="b">
        <f>IFERROR(__xludf.DUMMYFUNCTION("IF(G8, IF( 
VLOOKUP(ARRAYFORMULA(VLOOKUP($A8, QUERY(dataability_matches!$A$2:$C$8, ""SELECT B, A, C""), 2, False)), $A$34:$G$40, 7, False),
VLOOKUP($A8 ,dataroles!$A$4:$C$10, 3, False)*ARRAYFORMULA(VLOOKUP($A8, QUERY(dataability_matches!$A$2:$C$8, ""SELEC"&amp;"T B, A, C""), 3, False)),
VLOOKUP($A8 ,dataroles!$A$4:$C$10, 3, False)))"),FALSE)</f>
        <v>0</v>
      </c>
    </row>
    <row r="29" spans="1:7" hidden="1" outlineLevel="1">
      <c r="A29" s="49"/>
      <c r="B29" s="52" t="b">
        <f>IFERROR(__xludf.DUMMYFUNCTION("IF(B9, IF( 
VLOOKUP(ARRAYFORMULA(VLOOKUP($A9, QUERY(dataability_matches!$A$2:$C$8, ""SELECT B, A, C""), 2, False)), $A$34:$G$40, 2, False),
VLOOKUP($A9 ,dataroles!$A$4:$C$10, 3, False)*ARRAYFORMULA(VLOOKUP($A9, QUERY(dataability_matches!$A$2:$C$8, ""SELEC"&amp;"T B, A, C""), 3, False)),
VLOOKUP($A9 ,dataroles!$A$4:$C$10, 3, False)))"),FALSE)</f>
        <v>0</v>
      </c>
      <c r="C29" s="52" t="b">
        <f>IFERROR(__xludf.DUMMYFUNCTION("IF(C9, IF( 
VLOOKUP(ARRAYFORMULA(VLOOKUP($A9, QUERY(dataability_matches!$A$2:$C$8, ""SELECT B, A, C""), 2, False)), $A$34:$G$40, 3, False),
VLOOKUP($A9 ,dataroles!$A$4:$C$10, 3, False)*ARRAYFORMULA(VLOOKUP($A9, QUERY(dataability_matches!$A$2:$C$8, ""SELEC"&amp;"T B, A, C""), 3, False)),
VLOOKUP($A9 ,dataroles!$A$4:$C$10, 3, False)))"),FALSE)</f>
        <v>0</v>
      </c>
      <c r="D29" s="52" t="b">
        <f>IFERROR(__xludf.DUMMYFUNCTION("IF(D9, IF( 
VLOOKUP(ARRAYFORMULA(VLOOKUP($A9, QUERY(dataability_matches!$A$2:$C$8, ""SELECT B, A, C""), 2, False)), $A$34:$G$40, 4, False),
VLOOKUP($A9 ,dataroles!$A$4:$C$10, 3, False)*ARRAYFORMULA(VLOOKUP($A9, QUERY(dataability_matches!$A$2:$C$8, ""SELEC"&amp;"T B, A, C""), 3, False)),
VLOOKUP($A9 ,dataroles!$A$4:$C$10, 3, False)))"),FALSE)</f>
        <v>0</v>
      </c>
      <c r="E29" s="52" t="b">
        <f>IFERROR(__xludf.DUMMYFUNCTION("IF(E9, IF( 
VLOOKUP(ARRAYFORMULA(VLOOKUP($A9, QUERY(dataability_matches!$A$2:$C$8, ""SELECT B, A, C""), 2, False)), $A$34:$G$40, 5, False),
VLOOKUP($A9 ,dataroles!$A$4:$C$10, 3, False)*ARRAYFORMULA(VLOOKUP($A9, QUERY(dataability_matches!$A$2:$C$8, ""SELEC"&amp;"T B, A, C""), 3, False)),
VLOOKUP($A9 ,dataroles!$A$4:$C$10, 3, False)))"),FALSE)</f>
        <v>0</v>
      </c>
      <c r="F29" s="52" t="b">
        <f>IFERROR(__xludf.DUMMYFUNCTION("IF(F9, IF( 
VLOOKUP(ARRAYFORMULA(VLOOKUP($A9, QUERY(dataability_matches!$A$2:$C$8, ""SELECT B, A, C""), 2, False)), $A$34:$G$40, 6, False),
VLOOKUP($A9 ,dataroles!$A$4:$C$10, 3, False)*ARRAYFORMULA(VLOOKUP($A9, QUERY(dataability_matches!$A$2:$C$8, ""SELEC"&amp;"T B, A, C""), 3, False)),
VLOOKUP($A9 ,dataroles!$A$4:$C$10, 3, False)))"),FALSE)</f>
        <v>0</v>
      </c>
      <c r="G29" s="52" t="b">
        <f>IFERROR(__xludf.DUMMYFUNCTION("IF(G9, IF( 
VLOOKUP(ARRAYFORMULA(VLOOKUP($A9, QUERY(dataability_matches!$A$2:$C$8, ""SELECT B, A, C""), 2, False)), $A$34:$G$40, 7, False),
VLOOKUP($A9 ,dataroles!$A$4:$C$10, 3, False)*ARRAYFORMULA(VLOOKUP($A9, QUERY(dataability_matches!$A$2:$C$8, ""SELEC"&amp;"T B, A, C""), 3, False)),
VLOOKUP($A9 ,dataroles!$A$4:$C$10, 3, False)))"),FALSE)</f>
        <v>0</v>
      </c>
    </row>
    <row r="30" spans="1:7" hidden="1" outlineLevel="1">
      <c r="A30" s="49"/>
      <c r="B30" s="53" t="b">
        <f>IFERROR(__xludf.DUMMYFUNCTION("IF(B10, IF( 
VLOOKUP(ARRAYFORMULA(VLOOKUP($A10, QUERY(dataability_matches!$A$2:$C$8, ""SELECT B, A, C""), 2, False)), $A$34:$G$40, 2, False),
VLOOKUP($A10 ,dataroles!$A$4:$C$10, 3, False)*ARRAYFORMULA(VLOOKUP($A10, QUERY(dataability_matches!$A$2:$C$8, ""S"&amp;"ELECT B, A, C""), 3, False)),
VLOOKUP($A10 ,dataroles!$A$4:$C$10, 3, False)))"),FALSE)</f>
        <v>0</v>
      </c>
      <c r="C30" s="53" t="b">
        <f>IFERROR(__xludf.DUMMYFUNCTION("IF(C10, IF( 
VLOOKUP(ARRAYFORMULA(VLOOKUP($A10, QUERY(dataability_matches!$A$2:$C$8, ""SELECT B, A, C""), 2, False)), $A$34:$G$40, 3, False),
VLOOKUP($A10 ,dataroles!$A$4:$C$10, 3, False)*ARRAYFORMULA(VLOOKUP($A10, QUERY(dataability_matches!$A$2:$C$8, ""S"&amp;"ELECT B, A, C""), 3, False)),
VLOOKUP($A10 ,dataroles!$A$4:$C$10, 3, False)))"),FALSE)</f>
        <v>0</v>
      </c>
      <c r="D30" s="53" t="b">
        <f>IFERROR(__xludf.DUMMYFUNCTION("IF(D10, IF( 
VLOOKUP(ARRAYFORMULA(VLOOKUP($A10, QUERY(dataability_matches!$A$2:$C$8, ""SELECT B, A, C""), 2, False)), $A$34:$G$40, 4, False),
VLOOKUP($A10 ,dataroles!$A$4:$C$10, 3, False)*ARRAYFORMULA(VLOOKUP($A10, QUERY(dataability_matches!$A$2:$C$8, ""S"&amp;"ELECT B, A, C""), 3, False)),
VLOOKUP($A10 ,dataroles!$A$4:$C$10, 3, False)))"),FALSE)</f>
        <v>0</v>
      </c>
      <c r="E30" s="53" t="b">
        <f>IFERROR(__xludf.DUMMYFUNCTION("IF(E10, IF( 
VLOOKUP(ARRAYFORMULA(VLOOKUP($A10, QUERY(dataability_matches!$A$2:$C$8, ""SELECT B, A, C""), 2, False)), $A$34:$G$40, 5, False),
VLOOKUP($A10 ,dataroles!$A$4:$C$10, 3, False)*ARRAYFORMULA(VLOOKUP($A10, QUERY(dataability_matches!$A$2:$C$8, ""S"&amp;"ELECT B, A, C""), 3, False)),
VLOOKUP($A10 ,dataroles!$A$4:$C$10, 3, False)))"),FALSE)</f>
        <v>0</v>
      </c>
      <c r="F30" s="53" t="b">
        <f>IFERROR(__xludf.DUMMYFUNCTION("IF(F10, IF( 
VLOOKUP(ARRAYFORMULA(VLOOKUP($A10, QUERY(dataability_matches!$A$2:$C$8, ""SELECT B, A, C""), 2, False)), $A$34:$G$40, 6, False),
VLOOKUP($A10 ,dataroles!$A$4:$C$10, 3, False)*ARRAYFORMULA(VLOOKUP($A10, QUERY(dataability_matches!$A$2:$C$8, ""S"&amp;"ELECT B, A, C""), 3, False)),
VLOOKUP($A10 ,dataroles!$A$4:$C$10, 3, False)))"),FALSE)</f>
        <v>0</v>
      </c>
      <c r="G30" s="53" t="b">
        <f>IFERROR(__xludf.DUMMYFUNCTION("IF(G10, IF( 
VLOOKUP(ARRAYFORMULA(VLOOKUP($A10, QUERY(dataability_matches!$A$2:$C$8, ""SELECT B, A, C""), 2, False)), $A$34:$G$40, 7, False),
VLOOKUP($A10 ,dataroles!$A$4:$C$10, 3, False)*ARRAYFORMULA(VLOOKUP($A10, QUERY(dataability_matches!$A$2:$C$8, ""S"&amp;"ELECT B, A, C""), 3, False)),
VLOOKUP($A10 ,dataroles!$A$4:$C$10, 3, False)))"),FALSE)</f>
        <v>0</v>
      </c>
    </row>
    <row r="31" spans="1:7" hidden="1" outlineLevel="1">
      <c r="A31" s="54" t="s">
        <v>59</v>
      </c>
      <c r="B31" s="55">
        <f t="shared" ref="B31:G31" si="3">SUM(B24:B30)/100</f>
        <v>0</v>
      </c>
      <c r="C31" s="55">
        <f t="shared" si="3"/>
        <v>0</v>
      </c>
      <c r="D31" s="55">
        <f t="shared" si="3"/>
        <v>0</v>
      </c>
      <c r="E31" s="55">
        <f t="shared" si="3"/>
        <v>0</v>
      </c>
      <c r="F31" s="55">
        <f t="shared" si="3"/>
        <v>0</v>
      </c>
      <c r="G31" s="55">
        <f t="shared" si="3"/>
        <v>0</v>
      </c>
    </row>
    <row r="33" spans="1:7">
      <c r="A33" s="136" t="s">
        <v>60</v>
      </c>
      <c r="B33" s="132"/>
      <c r="C33" s="132"/>
      <c r="D33" s="132"/>
      <c r="E33" s="132"/>
      <c r="F33" s="132"/>
      <c r="G33" s="133"/>
    </row>
    <row r="34" spans="1:7">
      <c r="A34" s="56" t="s">
        <v>61</v>
      </c>
      <c r="B34" s="57" t="b">
        <v>0</v>
      </c>
      <c r="C34" s="57" t="b">
        <v>0</v>
      </c>
      <c r="D34" s="57" t="b">
        <v>0</v>
      </c>
      <c r="E34" s="57" t="b">
        <v>0</v>
      </c>
      <c r="F34" s="57" t="b">
        <v>0</v>
      </c>
      <c r="G34" s="58" t="b">
        <v>0</v>
      </c>
    </row>
    <row r="35" spans="1:7">
      <c r="A35" s="56" t="s">
        <v>62</v>
      </c>
      <c r="B35" s="57" t="b">
        <v>0</v>
      </c>
      <c r="C35" s="59" t="b">
        <v>1</v>
      </c>
      <c r="D35" s="57" t="b">
        <v>0</v>
      </c>
      <c r="E35" s="59" t="b">
        <v>1</v>
      </c>
      <c r="F35" s="57" t="b">
        <v>0</v>
      </c>
      <c r="G35" s="58" t="b">
        <v>0</v>
      </c>
    </row>
    <row r="36" spans="1:7">
      <c r="A36" s="56" t="s">
        <v>63</v>
      </c>
      <c r="B36" s="57" t="b">
        <v>0</v>
      </c>
      <c r="C36" s="59" t="b">
        <v>1</v>
      </c>
      <c r="D36" s="59" t="b">
        <v>1</v>
      </c>
      <c r="E36" s="57" t="b">
        <v>0</v>
      </c>
      <c r="F36" s="57" t="b">
        <v>0</v>
      </c>
      <c r="G36" s="60" t="b">
        <v>1</v>
      </c>
    </row>
    <row r="37" spans="1:7">
      <c r="A37" s="56" t="s">
        <v>64</v>
      </c>
      <c r="B37" s="59" t="b">
        <v>1</v>
      </c>
      <c r="C37" s="57" t="b">
        <v>0</v>
      </c>
      <c r="D37" s="57" t="b">
        <v>0</v>
      </c>
      <c r="E37" s="57" t="b">
        <v>0</v>
      </c>
      <c r="F37" s="57" t="b">
        <v>0</v>
      </c>
      <c r="G37" s="58" t="b">
        <v>0</v>
      </c>
    </row>
    <row r="38" spans="1:7">
      <c r="A38" s="56" t="s">
        <v>65</v>
      </c>
      <c r="B38" s="57" t="b">
        <v>0</v>
      </c>
      <c r="C38" s="57" t="b">
        <v>0</v>
      </c>
      <c r="D38" s="57" t="b">
        <v>0</v>
      </c>
      <c r="E38" s="57" t="b">
        <v>0</v>
      </c>
      <c r="F38" s="57" t="b">
        <v>0</v>
      </c>
      <c r="G38" s="58" t="b">
        <v>0</v>
      </c>
    </row>
    <row r="39" spans="1:7">
      <c r="A39" s="56" t="s">
        <v>66</v>
      </c>
      <c r="B39" s="59" t="b">
        <v>1</v>
      </c>
      <c r="C39" s="57" t="b">
        <v>0</v>
      </c>
      <c r="D39" s="59" t="b">
        <v>1</v>
      </c>
      <c r="E39" s="57" t="b">
        <v>0</v>
      </c>
      <c r="F39" s="59" t="b">
        <v>1</v>
      </c>
      <c r="G39" s="58" t="b">
        <v>0</v>
      </c>
    </row>
    <row r="40" spans="1:7">
      <c r="A40" s="61" t="s">
        <v>67</v>
      </c>
      <c r="B40" s="62" t="b">
        <v>0</v>
      </c>
      <c r="C40" s="62" t="b">
        <v>0</v>
      </c>
      <c r="D40" s="62" t="b">
        <v>0</v>
      </c>
      <c r="E40" s="62" t="b">
        <v>0</v>
      </c>
      <c r="F40" s="63" t="b">
        <v>1</v>
      </c>
      <c r="G40" s="64" t="b">
        <v>1</v>
      </c>
    </row>
    <row r="41" spans="1:7">
      <c r="A41" s="65" t="s">
        <v>68</v>
      </c>
      <c r="B41" s="66">
        <f t="shared" ref="B41:G41" si="4">B51</f>
        <v>0</v>
      </c>
      <c r="C41" s="66">
        <f t="shared" si="4"/>
        <v>0</v>
      </c>
      <c r="D41" s="66">
        <f t="shared" si="4"/>
        <v>0</v>
      </c>
      <c r="E41" s="66">
        <f t="shared" si="4"/>
        <v>0</v>
      </c>
      <c r="F41" s="66">
        <f t="shared" si="4"/>
        <v>0</v>
      </c>
      <c r="G41" s="67">
        <f t="shared" si="4"/>
        <v>0</v>
      </c>
    </row>
    <row r="42" spans="1:7" collapsed="1"/>
    <row r="43" spans="1:7" hidden="1" outlineLevel="1">
      <c r="A43" s="68" t="s">
        <v>56</v>
      </c>
      <c r="B43" s="38"/>
      <c r="C43" s="38"/>
      <c r="D43" s="38"/>
      <c r="E43" s="38"/>
      <c r="F43" s="38"/>
      <c r="G43" s="39"/>
    </row>
    <row r="44" spans="1:7" hidden="1" outlineLevel="1">
      <c r="A44" s="49"/>
      <c r="B44" s="41" t="b">
        <f>IF(B34, IFERROR(VLOOKUP($A34, dataroles!$D$4:$F$10, 2, FALSE), FALSE))</f>
        <v>0</v>
      </c>
      <c r="C44" s="41" t="b">
        <f>IF(C34, IFERROR(VLOOKUP($A34, dataroles!$D$4:$F$10, 2, FALSE), FALSE))</f>
        <v>0</v>
      </c>
      <c r="D44" s="41" t="b">
        <f>IF(D34, IFERROR(VLOOKUP($A34, dataroles!$D$4:$F$10, 2, FALSE), FALSE))</f>
        <v>0</v>
      </c>
      <c r="E44" s="41" t="b">
        <f>IF(E34, IFERROR(VLOOKUP($A34, dataroles!$D$4:$F$10, 2, FALSE), FALSE))</f>
        <v>0</v>
      </c>
      <c r="F44" s="41" t="b">
        <f>IF(F34, IFERROR(VLOOKUP($A34, dataroles!$D$4:$F$10, 2, FALSE), FALSE))</f>
        <v>0</v>
      </c>
      <c r="G44" s="41" t="b">
        <f>IF(G34, IFERROR(VLOOKUP($A34, dataroles!$D$4:$F$10, 2, FALSE), FALSE))</f>
        <v>0</v>
      </c>
    </row>
    <row r="45" spans="1:7" hidden="1" outlineLevel="1">
      <c r="A45" s="49"/>
      <c r="B45" s="43" t="b">
        <f>IF(B35, IFERROR(VLOOKUP($A35, dataroles!$D$4:$F$10, 2, FALSE), FALSE))</f>
        <v>0</v>
      </c>
      <c r="C45" s="69"/>
      <c r="D45" s="43" t="b">
        <f>IF(D35, IFERROR(VLOOKUP($A35, dataroles!$D$4:$F$10, 2, FALSE), FALSE))</f>
        <v>0</v>
      </c>
      <c r="E45" s="69"/>
      <c r="F45" s="43" t="b">
        <f>IF(F35, IFERROR(VLOOKUP($A35, dataroles!$D$4:$F$10, 2, FALSE), FALSE))</f>
        <v>0</v>
      </c>
      <c r="G45" s="43" t="b">
        <f>IF(G35, IFERROR(VLOOKUP($A35, dataroles!$D$4:$F$10, 2, FALSE), FALSE))</f>
        <v>0</v>
      </c>
    </row>
    <row r="46" spans="1:7" hidden="1" outlineLevel="1">
      <c r="A46" s="49"/>
      <c r="B46" s="43" t="b">
        <f>IF(B36, IFERROR(VLOOKUP($A36, dataroles!$D$4:$F$10, 2, FALSE), FALSE))</f>
        <v>0</v>
      </c>
      <c r="C46" s="69"/>
      <c r="D46" s="69"/>
      <c r="E46" s="43" t="b">
        <f>IF(E36, IFERROR(VLOOKUP($A36, dataroles!$D$4:$F$10, 2, FALSE), FALSE))</f>
        <v>0</v>
      </c>
      <c r="F46" s="43" t="b">
        <f>IF(F36, IFERROR(VLOOKUP($A36, dataroles!$D$4:$F$10, 2, FALSE), FALSE))</f>
        <v>0</v>
      </c>
      <c r="G46" s="69"/>
    </row>
    <row r="47" spans="1:7" hidden="1" outlineLevel="1">
      <c r="A47" s="49"/>
      <c r="B47" s="69"/>
      <c r="C47" s="43" t="b">
        <f>IF(C37, IFERROR(VLOOKUP($A37, dataroles!$D$4:$F$10, 2, FALSE), FALSE))</f>
        <v>0</v>
      </c>
      <c r="D47" s="43" t="b">
        <f>IF(D37, IFERROR(VLOOKUP($A37, dataroles!$D$4:$F$10, 2, FALSE), FALSE))</f>
        <v>0</v>
      </c>
      <c r="E47" s="43" t="b">
        <f>IF(E37, IFERROR(VLOOKUP($A37, dataroles!$D$4:$F$10, 2, FALSE), FALSE))</f>
        <v>0</v>
      </c>
      <c r="F47" s="43" t="b">
        <f>IF(F37, IFERROR(VLOOKUP($A37, dataroles!$D$4:$F$10, 2, FALSE), FALSE))</f>
        <v>0</v>
      </c>
      <c r="G47" s="43" t="b">
        <f>IF(G37, IFERROR(VLOOKUP($A37, dataroles!$D$4:$F$10, 2, FALSE), FALSE))</f>
        <v>0</v>
      </c>
    </row>
    <row r="48" spans="1:7" hidden="1" outlineLevel="1">
      <c r="A48" s="49"/>
      <c r="B48" s="43" t="b">
        <f>IF(B38, IFERROR(VLOOKUP($A38, dataroles!$D$4:$F$10, 2, FALSE), FALSE))</f>
        <v>0</v>
      </c>
      <c r="C48" s="43" t="b">
        <f>IF(C38, IFERROR(VLOOKUP($A38, dataroles!$D$4:$F$10, 2, FALSE), FALSE))</f>
        <v>0</v>
      </c>
      <c r="D48" s="43" t="b">
        <f>IF(D38, IFERROR(VLOOKUP($A38, dataroles!$D$4:$F$10, 2, FALSE), FALSE))</f>
        <v>0</v>
      </c>
      <c r="E48" s="43" t="b">
        <f>IF(E38, IFERROR(VLOOKUP($A38, dataroles!$D$4:$F$10, 2, FALSE), FALSE))</f>
        <v>0</v>
      </c>
      <c r="F48" s="43" t="b">
        <f>IF(F38, IFERROR(VLOOKUP($A38, dataroles!$D$4:$F$10, 2, FALSE), FALSE))</f>
        <v>0</v>
      </c>
      <c r="G48" s="43" t="b">
        <f>IF(G38, IFERROR(VLOOKUP($A38, dataroles!$D$4:$F$10, 2, FALSE), FALSE))</f>
        <v>0</v>
      </c>
    </row>
    <row r="49" spans="1:7" hidden="1" outlineLevel="1">
      <c r="A49" s="49"/>
      <c r="B49" s="69"/>
      <c r="C49" s="43" t="b">
        <f>IF(C39, IFERROR(VLOOKUP($A39, dataroles!$D$4:$F$10, 2, FALSE), FALSE))</f>
        <v>0</v>
      </c>
      <c r="D49" s="69"/>
      <c r="E49" s="43" t="b">
        <f>IF(E39, IFERROR(VLOOKUP($A39, dataroles!$D$4:$F$10, 2, FALSE), FALSE))</f>
        <v>0</v>
      </c>
      <c r="F49" s="69"/>
      <c r="G49" s="43" t="b">
        <f>IF(G39, IFERROR(VLOOKUP($A39, dataroles!$D$4:$F$10, 2, FALSE), FALSE))</f>
        <v>0</v>
      </c>
    </row>
    <row r="50" spans="1:7" hidden="1" outlineLevel="1">
      <c r="A50" s="49"/>
      <c r="B50" s="43" t="b">
        <f>IF(B40, IFERROR(VLOOKUP($A40, dataroles!$D$4:$F$10, 2, FALSE), FALSE))</f>
        <v>0</v>
      </c>
      <c r="C50" s="43" t="b">
        <f>IF(C40, IFERROR(VLOOKUP($A40, dataroles!$D$4:$F$10, 2, FALSE), FALSE))</f>
        <v>0</v>
      </c>
      <c r="D50" s="43" t="b">
        <f>IF(D40, IFERROR(VLOOKUP($A40, dataroles!$D$4:$F$10, 2, FALSE), FALSE))</f>
        <v>0</v>
      </c>
      <c r="E50" s="43" t="b">
        <f>IF(E40, IFERROR(VLOOKUP($A40, dataroles!$D$4:$F$10, 2, FALSE), FALSE))</f>
        <v>0</v>
      </c>
      <c r="F50" s="69"/>
      <c r="G50" s="69"/>
    </row>
    <row r="51" spans="1:7" hidden="1" outlineLevel="1">
      <c r="A51" s="47" t="s">
        <v>57</v>
      </c>
      <c r="B51" s="48">
        <f t="shared" ref="B51:G51" si="5">SUM(B44:B50)</f>
        <v>0</v>
      </c>
      <c r="C51" s="48">
        <f t="shared" si="5"/>
        <v>0</v>
      </c>
      <c r="D51" s="48">
        <f t="shared" si="5"/>
        <v>0</v>
      </c>
      <c r="E51" s="48">
        <f t="shared" si="5"/>
        <v>0</v>
      </c>
      <c r="F51" s="48">
        <f t="shared" si="5"/>
        <v>0</v>
      </c>
      <c r="G51" s="48">
        <f t="shared" si="5"/>
        <v>0</v>
      </c>
    </row>
    <row r="52" spans="1:7" hidden="1" outlineLevel="1">
      <c r="A52" s="49"/>
      <c r="G52" s="50"/>
    </row>
    <row r="53" spans="1:7" hidden="1" outlineLevel="1">
      <c r="A53" s="47" t="s">
        <v>58</v>
      </c>
      <c r="G53" s="50"/>
    </row>
    <row r="54" spans="1:7" hidden="1" outlineLevel="1">
      <c r="A54" s="49"/>
      <c r="B54" s="70" t="b">
        <f>IF(B34, IFERROR(VLOOKUP($A34,dataroles!$D$4:$F$10, 3, FALSE), FALSE))</f>
        <v>0</v>
      </c>
      <c r="C54" s="70" t="b">
        <f>IF(C34, IFERROR(VLOOKUP($A34,dataroles!$D$4:$F$10, 3, FALSE), FALSE))</f>
        <v>0</v>
      </c>
      <c r="D54" s="70" t="b">
        <f>IF(D34, IFERROR(VLOOKUP($A34,dataroles!$D$4:$F$10, 3, FALSE), FALSE))</f>
        <v>0</v>
      </c>
      <c r="E54" s="70" t="b">
        <f>IF(E34, IFERROR(VLOOKUP($A34,dataroles!$D$4:$F$10, 3, FALSE), FALSE))</f>
        <v>0</v>
      </c>
      <c r="F54" s="70" t="b">
        <f>IF(F34, IFERROR(VLOOKUP($A34,dataroles!$D$4:$F$10, 3, FALSE), FALSE))</f>
        <v>0</v>
      </c>
      <c r="G54" s="70" t="b">
        <f>IF(G34, IFERROR(VLOOKUP($A34,dataroles!$D$4:$F$10, 3, FALSE), FALSE))</f>
        <v>0</v>
      </c>
    </row>
    <row r="55" spans="1:7" hidden="1" outlineLevel="1">
      <c r="A55" s="49"/>
      <c r="B55" s="71" t="b">
        <f>IF(B35, IFERROR(VLOOKUP($A35,dataroles!$D$4:$F$10, 3, FALSE), FALSE))</f>
        <v>0</v>
      </c>
      <c r="C55" s="71">
        <f>IF(C35, IFERROR(VLOOKUP($A35,dataroles!$D$4:$F$10, 3, FALSE), FALSE))</f>
        <v>30</v>
      </c>
      <c r="D55" s="71" t="b">
        <f>IF(D35, IFERROR(VLOOKUP($A35,dataroles!$D$4:$F$10, 3, FALSE), FALSE))</f>
        <v>0</v>
      </c>
      <c r="E55" s="71">
        <f>IF(E35, IFERROR(VLOOKUP($A35,dataroles!$D$4:$F$10, 3, FALSE), FALSE))</f>
        <v>30</v>
      </c>
      <c r="F55" s="71" t="b">
        <f>IF(F35, IFERROR(VLOOKUP($A35,dataroles!$D$4:$F$10, 3, FALSE), FALSE))</f>
        <v>0</v>
      </c>
      <c r="G55" s="71" t="b">
        <f>IF(G35, IFERROR(VLOOKUP($A35,dataroles!$D$4:$F$10, 3, FALSE), FALSE))</f>
        <v>0</v>
      </c>
    </row>
    <row r="56" spans="1:7" hidden="1" outlineLevel="1">
      <c r="A56" s="49"/>
      <c r="B56" s="71" t="b">
        <f>IF(B36, IFERROR(VLOOKUP($A36,dataroles!$D$4:$F$10, 3, FALSE), FALSE))</f>
        <v>0</v>
      </c>
      <c r="C56" s="71">
        <f>IF(C36, IFERROR(VLOOKUP($A36,dataroles!$D$4:$F$10, 3, FALSE), FALSE))</f>
        <v>30</v>
      </c>
      <c r="D56" s="71">
        <f>IF(D36, IFERROR(VLOOKUP($A36,dataroles!$D$4:$F$10, 3, FALSE), FALSE))</f>
        <v>30</v>
      </c>
      <c r="E56" s="71" t="b">
        <f>IF(E36, IFERROR(VLOOKUP($A36,dataroles!$D$4:$F$10, 3, FALSE), FALSE))</f>
        <v>0</v>
      </c>
      <c r="F56" s="71" t="b">
        <f>IF(F36, IFERROR(VLOOKUP($A36,dataroles!$D$4:$F$10, 3, FALSE), FALSE))</f>
        <v>0</v>
      </c>
      <c r="G56" s="71">
        <f>IF(G36, IFERROR(VLOOKUP($A36,dataroles!$D$4:$F$10, 3, FALSE), FALSE))</f>
        <v>30</v>
      </c>
    </row>
    <row r="57" spans="1:7" hidden="1" outlineLevel="1">
      <c r="A57" s="49"/>
      <c r="B57" s="71">
        <f>IF(B37, IFERROR(VLOOKUP($A37,dataroles!$D$4:$F$10, 3, FALSE), FALSE))</f>
        <v>15</v>
      </c>
      <c r="C57" s="71" t="b">
        <f>IF(C37, IFERROR(VLOOKUP($A37,dataroles!$D$4:$F$10, 3, FALSE), FALSE))</f>
        <v>0</v>
      </c>
      <c r="D57" s="71" t="b">
        <f>IF(D37, IFERROR(VLOOKUP($A37,dataroles!$D$4:$F$10, 3, FALSE), FALSE))</f>
        <v>0</v>
      </c>
      <c r="E57" s="71" t="b">
        <f>IF(E37, IFERROR(VLOOKUP($A37,dataroles!$D$4:$F$10, 3, FALSE), FALSE))</f>
        <v>0</v>
      </c>
      <c r="F57" s="71" t="b">
        <f>IF(F37, IFERROR(VLOOKUP($A37,dataroles!$D$4:$F$10, 3, FALSE), FALSE))</f>
        <v>0</v>
      </c>
      <c r="G57" s="71" t="b">
        <f>IF(G37, IFERROR(VLOOKUP($A37,dataroles!$D$4:$F$10, 3, FALSE), FALSE))</f>
        <v>0</v>
      </c>
    </row>
    <row r="58" spans="1:7" hidden="1" outlineLevel="1">
      <c r="A58" s="49"/>
      <c r="B58" s="71" t="b">
        <f>IF(B38, IFERROR(VLOOKUP($A38,dataroles!$D$4:$F$10, 3, FALSE), FALSE))</f>
        <v>0</v>
      </c>
      <c r="C58" s="71" t="b">
        <f>IF(C38, IFERROR(VLOOKUP($A38,dataroles!$D$4:$F$10, 3, FALSE), FALSE))</f>
        <v>0</v>
      </c>
      <c r="D58" s="71" t="b">
        <f>IF(D38, IFERROR(VLOOKUP($A38,dataroles!$D$4:$F$10, 3, FALSE), FALSE))</f>
        <v>0</v>
      </c>
      <c r="E58" s="71" t="b">
        <f>IF(E38, IFERROR(VLOOKUP($A38,dataroles!$D$4:$F$10, 3, FALSE), FALSE))</f>
        <v>0</v>
      </c>
      <c r="F58" s="71" t="b">
        <f>IF(F38, IFERROR(VLOOKUP($A38,dataroles!$D$4:$F$10, 3, FALSE), FALSE))</f>
        <v>0</v>
      </c>
      <c r="G58" s="71" t="b">
        <f>IF(G38, IFERROR(VLOOKUP($A38,dataroles!$D$4:$F$10, 3, FALSE), FALSE))</f>
        <v>0</v>
      </c>
    </row>
    <row r="59" spans="1:7" hidden="1" outlineLevel="1">
      <c r="A59" s="49"/>
      <c r="B59" s="71">
        <f>IF(B39, IFERROR(VLOOKUP($A39,dataroles!$D$4:$F$10, 3, FALSE), FALSE))</f>
        <v>10</v>
      </c>
      <c r="C59" s="71" t="b">
        <f>IF(C39, IFERROR(VLOOKUP($A39,dataroles!$D$4:$F$10, 3, FALSE), FALSE))</f>
        <v>0</v>
      </c>
      <c r="D59" s="71">
        <f>IF(D39, IFERROR(VLOOKUP($A39,dataroles!$D$4:$F$10, 3, FALSE), FALSE))</f>
        <v>10</v>
      </c>
      <c r="E59" s="71" t="b">
        <f>IF(E39, IFERROR(VLOOKUP($A39,dataroles!$D$4:$F$10, 3, FALSE), FALSE))</f>
        <v>0</v>
      </c>
      <c r="F59" s="71">
        <f>IF(F39, IFERROR(VLOOKUP($A39,dataroles!$D$4:$F$10, 3, FALSE), FALSE))</f>
        <v>10</v>
      </c>
      <c r="G59" s="71" t="b">
        <f>IF(G39, IFERROR(VLOOKUP($A39,dataroles!$D$4:$F$10, 3, FALSE), FALSE))</f>
        <v>0</v>
      </c>
    </row>
    <row r="60" spans="1:7" hidden="1" outlineLevel="1">
      <c r="A60" s="49"/>
      <c r="B60" s="71" t="b">
        <f>IF(B40, IFERROR(VLOOKUP($A40,dataroles!$D$4:$F$10, 3, FALSE), FALSE))</f>
        <v>0</v>
      </c>
      <c r="C60" s="71" t="b">
        <f>IF(C40, IFERROR(VLOOKUP($A40,dataroles!$D$4:$F$10, 3, FALSE), FALSE))</f>
        <v>0</v>
      </c>
      <c r="D60" s="71" t="b">
        <f>IF(D40, IFERROR(VLOOKUP($A40,dataroles!$D$4:$F$10, 3, FALSE), FALSE))</f>
        <v>0</v>
      </c>
      <c r="E60" s="71" t="b">
        <f>IF(E40, IFERROR(VLOOKUP($A40,dataroles!$D$4:$F$10, 3, FALSE), FALSE))</f>
        <v>0</v>
      </c>
      <c r="F60" s="71">
        <f>IF(F40, IFERROR(VLOOKUP($A40,dataroles!$D$4:$F$10, 3, FALSE), FALSE))</f>
        <v>20</v>
      </c>
      <c r="G60" s="71">
        <f>IF(G40, IFERROR(VLOOKUP($A40,dataroles!$D$4:$F$10, 3, FALSE), FALSE))</f>
        <v>20</v>
      </c>
    </row>
    <row r="61" spans="1:7" hidden="1" outlineLevel="1">
      <c r="A61" s="54" t="s">
        <v>59</v>
      </c>
      <c r="B61" s="72">
        <f t="shared" ref="B61:G61" si="6">SUM(B54:B60)/100</f>
        <v>0.25</v>
      </c>
      <c r="C61" s="72">
        <f t="shared" si="6"/>
        <v>0.6</v>
      </c>
      <c r="D61" s="72">
        <f t="shared" si="6"/>
        <v>0.4</v>
      </c>
      <c r="E61" s="72">
        <f t="shared" si="6"/>
        <v>0.3</v>
      </c>
      <c r="F61" s="72">
        <f t="shared" si="6"/>
        <v>0.3</v>
      </c>
      <c r="G61" s="72">
        <f t="shared" si="6"/>
        <v>0.5</v>
      </c>
    </row>
    <row r="63" spans="1:7">
      <c r="A63" s="23" t="s">
        <v>69</v>
      </c>
      <c r="B63" s="38"/>
      <c r="C63" s="38"/>
      <c r="D63" s="38"/>
      <c r="E63" s="38"/>
      <c r="F63" s="38"/>
      <c r="G63" s="39"/>
    </row>
    <row r="64" spans="1:7">
      <c r="A64" s="73">
        <v>-1</v>
      </c>
      <c r="B64" s="74" t="s">
        <v>70</v>
      </c>
      <c r="C64" s="74" t="s">
        <v>70</v>
      </c>
      <c r="D64" s="74" t="s">
        <v>70</v>
      </c>
      <c r="E64" s="74" t="s">
        <v>70</v>
      </c>
      <c r="F64" s="74" t="s">
        <v>70</v>
      </c>
      <c r="G64" s="50" t="s">
        <v>70</v>
      </c>
    </row>
    <row r="65" spans="1:7">
      <c r="A65" s="73">
        <v>-0.75</v>
      </c>
      <c r="B65" s="74" t="s">
        <v>71</v>
      </c>
      <c r="C65" s="74" t="s">
        <v>71</v>
      </c>
      <c r="D65" s="74" t="s">
        <v>71</v>
      </c>
      <c r="E65" s="74" t="s">
        <v>71</v>
      </c>
      <c r="F65" s="74" t="s">
        <v>72</v>
      </c>
      <c r="G65" s="50" t="s">
        <v>72</v>
      </c>
    </row>
    <row r="66" spans="1:7">
      <c r="A66" s="73">
        <v>-0.5</v>
      </c>
      <c r="B66" s="74" t="s">
        <v>73</v>
      </c>
      <c r="C66" s="74" t="s">
        <v>73</v>
      </c>
      <c r="D66" s="74" t="s">
        <v>73</v>
      </c>
      <c r="E66" s="74" t="s">
        <v>73</v>
      </c>
      <c r="F66" s="74" t="s">
        <v>71</v>
      </c>
      <c r="G66" s="50" t="s">
        <v>71</v>
      </c>
    </row>
    <row r="67" spans="1:7">
      <c r="A67" s="73">
        <v>-0.25</v>
      </c>
      <c r="B67" s="74" t="s">
        <v>74</v>
      </c>
      <c r="C67" s="74" t="s">
        <v>74</v>
      </c>
      <c r="D67" s="74" t="s">
        <v>74</v>
      </c>
      <c r="E67" s="74" t="s">
        <v>74</v>
      </c>
      <c r="F67" s="74" t="s">
        <v>73</v>
      </c>
      <c r="G67" s="50" t="s">
        <v>73</v>
      </c>
    </row>
    <row r="68" spans="1:7">
      <c r="A68" s="73">
        <v>0</v>
      </c>
      <c r="B68" s="74" t="s">
        <v>75</v>
      </c>
      <c r="C68" s="74" t="s">
        <v>75</v>
      </c>
      <c r="D68" s="74" t="s">
        <v>75</v>
      </c>
      <c r="E68" s="74" t="s">
        <v>75</v>
      </c>
      <c r="F68" s="74" t="s">
        <v>75</v>
      </c>
      <c r="G68" s="50" t="s">
        <v>75</v>
      </c>
    </row>
    <row r="69" spans="1:7">
      <c r="A69" s="73">
        <v>0.25</v>
      </c>
      <c r="B69" s="74" t="s">
        <v>76</v>
      </c>
      <c r="C69" s="74" t="s">
        <v>76</v>
      </c>
      <c r="D69" s="74" t="s">
        <v>76</v>
      </c>
      <c r="E69" s="74" t="s">
        <v>76</v>
      </c>
      <c r="F69" s="74" t="s">
        <v>77</v>
      </c>
      <c r="G69" s="50" t="s">
        <v>77</v>
      </c>
    </row>
    <row r="70" spans="1:7">
      <c r="A70" s="73">
        <v>0.5</v>
      </c>
      <c r="B70" s="74" t="s">
        <v>77</v>
      </c>
      <c r="C70" s="74" t="s">
        <v>77</v>
      </c>
      <c r="D70" s="74" t="s">
        <v>77</v>
      </c>
      <c r="E70" s="74" t="s">
        <v>77</v>
      </c>
      <c r="F70" s="74" t="s">
        <v>78</v>
      </c>
      <c r="G70" s="50" t="s">
        <v>78</v>
      </c>
    </row>
    <row r="71" spans="1:7">
      <c r="A71" s="73">
        <v>0.75</v>
      </c>
      <c r="B71" s="74" t="s">
        <v>79</v>
      </c>
      <c r="C71" s="74" t="s">
        <v>79</v>
      </c>
      <c r="D71" s="74" t="s">
        <v>79</v>
      </c>
      <c r="E71" s="74" t="s">
        <v>79</v>
      </c>
      <c r="F71" s="74" t="s">
        <v>80</v>
      </c>
      <c r="G71" s="50" t="s">
        <v>80</v>
      </c>
    </row>
    <row r="72" spans="1:7">
      <c r="A72" s="75">
        <v>1</v>
      </c>
      <c r="B72" s="76" t="s">
        <v>80</v>
      </c>
      <c r="C72" s="76" t="s">
        <v>80</v>
      </c>
      <c r="D72" s="76" t="s">
        <v>80</v>
      </c>
      <c r="E72" s="76" t="s">
        <v>80</v>
      </c>
      <c r="F72" s="76" t="s">
        <v>81</v>
      </c>
      <c r="G72" s="77" t="s">
        <v>81</v>
      </c>
    </row>
    <row r="73" spans="1:7" collapsed="1"/>
    <row r="74" spans="1:7" hidden="1" outlineLevel="1">
      <c r="A74" s="23" t="s">
        <v>82</v>
      </c>
      <c r="B74" s="38"/>
      <c r="C74" s="38"/>
      <c r="D74" s="38"/>
      <c r="E74" s="38"/>
      <c r="F74" s="38"/>
      <c r="G74" s="39"/>
    </row>
    <row r="75" spans="1:7" hidden="1" outlineLevel="1">
      <c r="A75" s="73">
        <v>-1</v>
      </c>
      <c r="B75" s="74" t="b">
        <f t="shared" ref="B75:G75" si="7">B$2&lt;$A$65</f>
        <v>0</v>
      </c>
      <c r="C75" s="74" t="b">
        <f t="shared" si="7"/>
        <v>0</v>
      </c>
      <c r="D75" s="74" t="b">
        <f t="shared" si="7"/>
        <v>0</v>
      </c>
      <c r="E75" s="74" t="b">
        <f t="shared" si="7"/>
        <v>0</v>
      </c>
      <c r="F75" s="74" t="b">
        <f t="shared" si="7"/>
        <v>0</v>
      </c>
      <c r="G75" s="50" t="b">
        <f t="shared" si="7"/>
        <v>0</v>
      </c>
    </row>
    <row r="76" spans="1:7" hidden="1" outlineLevel="1">
      <c r="A76" s="73">
        <v>-0.75</v>
      </c>
      <c r="B76" s="74" t="b">
        <f>IFERROR(__xludf.DUMMYFUNCTION("ISBETWEEN(B$2, $A65, $A66, True, False)"),FALSE)</f>
        <v>0</v>
      </c>
      <c r="C76" s="74" t="b">
        <f>IFERROR(__xludf.DUMMYFUNCTION("ISBETWEEN(C$2, $A65, $A66, True, False)"),TRUE)</f>
        <v>1</v>
      </c>
      <c r="D76" s="74" t="b">
        <f>IFERROR(__xludf.DUMMYFUNCTION("ISBETWEEN(D$2, $A65, $A66, True, False)"),FALSE)</f>
        <v>0</v>
      </c>
      <c r="E76" s="74" t="b">
        <f>IFERROR(__xludf.DUMMYFUNCTION("ISBETWEEN(E$2, $A65, $A66, True, False)"),FALSE)</f>
        <v>0</v>
      </c>
      <c r="F76" s="74" t="b">
        <f>IFERROR(__xludf.DUMMYFUNCTION("ISBETWEEN(F$2, $A65, $A66, True, False)"),FALSE)</f>
        <v>0</v>
      </c>
      <c r="G76" s="50" t="b">
        <f>IFERROR(__xludf.DUMMYFUNCTION("ISBETWEEN(G$2, $A65, $A66, True, False)"),FALSE)</f>
        <v>0</v>
      </c>
    </row>
    <row r="77" spans="1:7" hidden="1" outlineLevel="1">
      <c r="A77" s="73">
        <v>-0.5</v>
      </c>
      <c r="B77" s="74" t="b">
        <f>IFERROR(__xludf.DUMMYFUNCTION("ISBETWEEN(B$2, $A66, $A67, True, False)"),FALSE)</f>
        <v>0</v>
      </c>
      <c r="C77" s="74" t="b">
        <f>IFERROR(__xludf.DUMMYFUNCTION("ISBETWEEN(C$2, $A66, $A67, True, False)"),FALSE)</f>
        <v>0</v>
      </c>
      <c r="D77" s="74" t="b">
        <f>IFERROR(__xludf.DUMMYFUNCTION("ISBETWEEN(D$2, $A66, $A67, True, False)"),TRUE)</f>
        <v>1</v>
      </c>
      <c r="E77" s="74" t="b">
        <f>IFERROR(__xludf.DUMMYFUNCTION("ISBETWEEN(E$2, $A66, $A67, True, False)"),TRUE)</f>
        <v>1</v>
      </c>
      <c r="F77" s="74" t="b">
        <f>IFERROR(__xludf.DUMMYFUNCTION("ISBETWEEN(F$2, $A66, $A67, True, False)"),TRUE)</f>
        <v>1</v>
      </c>
      <c r="G77" s="50" t="b">
        <f>IFERROR(__xludf.DUMMYFUNCTION("ISBETWEEN(G$2, $A66, $A67, True, False)"),TRUE)</f>
        <v>1</v>
      </c>
    </row>
    <row r="78" spans="1:7" hidden="1" outlineLevel="1">
      <c r="A78" s="73">
        <v>-0.25</v>
      </c>
      <c r="B78" s="74" t="b">
        <f>IFERROR(__xludf.DUMMYFUNCTION("ISBETWEEN(B$2, $A67, $A68, True, False)"),TRUE)</f>
        <v>1</v>
      </c>
      <c r="C78" s="74" t="b">
        <f>IFERROR(__xludf.DUMMYFUNCTION("ISBETWEEN(C$2, $A67, $A68, True, False)"),FALSE)</f>
        <v>0</v>
      </c>
      <c r="D78" s="74" t="b">
        <f>IFERROR(__xludf.DUMMYFUNCTION("ISBETWEEN(D$2, $A67, $A68, True, False)"),FALSE)</f>
        <v>0</v>
      </c>
      <c r="E78" s="74" t="b">
        <f>IFERROR(__xludf.DUMMYFUNCTION("ISBETWEEN(E$2, $A67, $A68, True, False)"),FALSE)</f>
        <v>0</v>
      </c>
      <c r="F78" s="74" t="b">
        <f>IFERROR(__xludf.DUMMYFUNCTION("ISBETWEEN(F$2, $A67, $A68, True, False)"),FALSE)</f>
        <v>0</v>
      </c>
      <c r="G78" s="50" t="b">
        <f>IFERROR(__xludf.DUMMYFUNCTION("ISBETWEEN(G$2, $A67, $A68, True, False)"),FALSE)</f>
        <v>0</v>
      </c>
    </row>
    <row r="79" spans="1:7" hidden="1" outlineLevel="1">
      <c r="A79" s="73">
        <v>0</v>
      </c>
      <c r="B79" s="74" t="b">
        <f t="shared" ref="B79:G79" si="8">EQ(B$2, $A$68)</f>
        <v>0</v>
      </c>
      <c r="C79" s="74" t="b">
        <f t="shared" si="8"/>
        <v>0</v>
      </c>
      <c r="D79" s="74" t="b">
        <f t="shared" si="8"/>
        <v>0</v>
      </c>
      <c r="E79" s="74" t="b">
        <f t="shared" si="8"/>
        <v>0</v>
      </c>
      <c r="F79" s="74" t="b">
        <f t="shared" si="8"/>
        <v>0</v>
      </c>
      <c r="G79" s="50" t="b">
        <f t="shared" si="8"/>
        <v>0</v>
      </c>
    </row>
    <row r="80" spans="1:7" hidden="1" outlineLevel="1">
      <c r="A80" s="73">
        <v>0.25</v>
      </c>
      <c r="B80" s="74" t="b">
        <f>IFERROR(__xludf.DUMMYFUNCTION("ISBETWEEN(B$2, $A68, $A69, False, True)"),FALSE)</f>
        <v>0</v>
      </c>
      <c r="C80" s="74" t="b">
        <f>IFERROR(__xludf.DUMMYFUNCTION("ISBETWEEN(C$2, $A68, $A69, False, True)"),FALSE)</f>
        <v>0</v>
      </c>
      <c r="D80" s="74" t="b">
        <f>IFERROR(__xludf.DUMMYFUNCTION("ISBETWEEN(D$2, $A68, $A69, False, True)"),FALSE)</f>
        <v>0</v>
      </c>
      <c r="E80" s="74" t="b">
        <f>IFERROR(__xludf.DUMMYFUNCTION("ISBETWEEN(E$2, $A68, $A69, False, True)"),FALSE)</f>
        <v>0</v>
      </c>
      <c r="F80" s="74" t="b">
        <f>IFERROR(__xludf.DUMMYFUNCTION("ISBETWEEN(F$2, $A68, $A69, False, True)"),FALSE)</f>
        <v>0</v>
      </c>
      <c r="G80" s="50" t="b">
        <f>IFERROR(__xludf.DUMMYFUNCTION("ISBETWEEN(G$2, $A68, $A69, False, True)"),FALSE)</f>
        <v>0</v>
      </c>
    </row>
    <row r="81" spans="1:7" hidden="1" outlineLevel="1">
      <c r="A81" s="73">
        <v>0.5</v>
      </c>
      <c r="B81" s="74" t="b">
        <f>IFERROR(__xludf.DUMMYFUNCTION("ISBETWEEN(B$2, $A69, $A70, False, True)"),FALSE)</f>
        <v>0</v>
      </c>
      <c r="C81" s="74" t="b">
        <f>IFERROR(__xludf.DUMMYFUNCTION("ISBETWEEN(C$2, $A69, $A70, False, True)"),FALSE)</f>
        <v>0</v>
      </c>
      <c r="D81" s="74" t="b">
        <f>IFERROR(__xludf.DUMMYFUNCTION("ISBETWEEN(D$2, $A69, $A70, False, True)"),FALSE)</f>
        <v>0</v>
      </c>
      <c r="E81" s="74" t="b">
        <f>IFERROR(__xludf.DUMMYFUNCTION("ISBETWEEN(E$2, $A69, $A70, False, True)"),FALSE)</f>
        <v>0</v>
      </c>
      <c r="F81" s="74" t="b">
        <f>IFERROR(__xludf.DUMMYFUNCTION("ISBETWEEN(F$2, $A69, $A70, False, True)"),FALSE)</f>
        <v>0</v>
      </c>
      <c r="G81" s="50" t="b">
        <f>IFERROR(__xludf.DUMMYFUNCTION("ISBETWEEN(G$2, $A69, $A70, False, True)"),FALSE)</f>
        <v>0</v>
      </c>
    </row>
    <row r="82" spans="1:7" hidden="1" outlineLevel="1">
      <c r="A82" s="73">
        <v>0.75</v>
      </c>
      <c r="B82" s="74" t="b">
        <f>IFERROR(__xludf.DUMMYFUNCTION("ISBETWEEN(B$2, $A70, $A71, False, True)"),FALSE)</f>
        <v>0</v>
      </c>
      <c r="C82" s="74" t="b">
        <f>IFERROR(__xludf.DUMMYFUNCTION("ISBETWEEN(C$2, $A70, $A71, False, True)"),FALSE)</f>
        <v>0</v>
      </c>
      <c r="D82" s="74" t="b">
        <f>IFERROR(__xludf.DUMMYFUNCTION("ISBETWEEN(D$2, $A70, $A71, False, True)"),FALSE)</f>
        <v>0</v>
      </c>
      <c r="E82" s="74" t="b">
        <f>IFERROR(__xludf.DUMMYFUNCTION("ISBETWEEN(E$2, $A70, $A71, False, True)"),FALSE)</f>
        <v>0</v>
      </c>
      <c r="F82" s="74" t="b">
        <f>IFERROR(__xludf.DUMMYFUNCTION("ISBETWEEN(F$2, $A70, $A71, False, True)"),FALSE)</f>
        <v>0</v>
      </c>
      <c r="G82" s="50" t="b">
        <f>IFERROR(__xludf.DUMMYFUNCTION("ISBETWEEN(G$2, $A70, $A71, False, True)"),FALSE)</f>
        <v>0</v>
      </c>
    </row>
    <row r="83" spans="1:7" hidden="1" outlineLevel="1">
      <c r="A83" s="75">
        <v>1</v>
      </c>
      <c r="B83" s="76" t="b">
        <f t="shared" ref="B83:G83" si="9">B2&gt;$A$71</f>
        <v>0</v>
      </c>
      <c r="C83" s="76" t="b">
        <f t="shared" si="9"/>
        <v>0</v>
      </c>
      <c r="D83" s="76" t="b">
        <f t="shared" si="9"/>
        <v>0</v>
      </c>
      <c r="E83" s="76" t="b">
        <f t="shared" si="9"/>
        <v>0</v>
      </c>
      <c r="F83" s="76" t="b">
        <f t="shared" si="9"/>
        <v>0</v>
      </c>
      <c r="G83" s="77" t="b">
        <f t="shared" si="9"/>
        <v>0</v>
      </c>
    </row>
  </sheetData>
  <mergeCells count="2">
    <mergeCell ref="A3:G3"/>
    <mergeCell ref="A33:G33"/>
  </mergeCells>
  <conditionalFormatting sqref="B2:G2">
    <cfRule type="cellIs" dxfId="4" priority="1" operator="lessThan">
      <formula>0</formula>
    </cfRule>
  </conditionalFormatting>
  <conditionalFormatting sqref="B2:G2">
    <cfRule type="cellIs" dxfId="3" priority="2" operator="greaterThan">
      <formula>0</formula>
    </cfRule>
  </conditionalFormatting>
  <conditionalFormatting sqref="A64:A72">
    <cfRule type="cellIs" dxfId="2" priority="3" operator="lessThan">
      <formula>0</formula>
    </cfRule>
  </conditionalFormatting>
  <conditionalFormatting sqref="A64:A72">
    <cfRule type="cellIs" dxfId="1" priority="4" operator="greaterThan">
      <formula>0</formula>
    </cfRule>
  </conditionalFormatting>
  <conditionalFormatting sqref="B64:G72">
    <cfRule type="expression" dxfId="0" priority="5">
      <formula>IF(B75, TRUE)</formula>
    </cfRule>
  </conditionalFormatting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0000000}">
          <x14:formula1>
            <xm:f>dataroles!$D$4:$D84</xm:f>
          </x14:formula1>
          <xm:sqref>A34:A40</xm:sqref>
        </x14:dataValidation>
        <x14:dataValidation type="list" allowBlank="1" showErrorMessage="1" xr:uid="{00000000-0002-0000-0200-000001000000}">
          <x14:formula1>
            <xm:f>dataroles!$A$4:$A84</xm:f>
          </x14:formula1>
          <xm:sqref>A4:A10</xm:sqref>
        </x14:dataValidation>
        <x14:dataValidation type="list" allowBlank="1" showErrorMessage="1" xr:uid="{00000000-0002-0000-0200-000002000000}">
          <x14:formula1>
            <xm:f>dataevents!$A$2:$A84</xm:f>
          </x14:formula1>
          <xm:sqref>B64:G72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0"/>
  <sheetViews>
    <sheetView workbookViewId="0"/>
  </sheetViews>
  <sheetFormatPr defaultColWidth="12.5703125" defaultRowHeight="15.75" customHeight="1"/>
  <cols>
    <col min="1" max="1" width="23.5703125" customWidth="1"/>
    <col min="2" max="2" width="6.28515625" customWidth="1"/>
    <col min="3" max="3" width="18.28515625" customWidth="1"/>
    <col min="4" max="4" width="19.85546875" customWidth="1"/>
    <col min="5" max="5" width="6.28515625" customWidth="1"/>
    <col min="6" max="6" width="18.28515625" customWidth="1"/>
  </cols>
  <sheetData>
    <row r="1" spans="1:6">
      <c r="A1" s="115" t="s">
        <v>6</v>
      </c>
      <c r="B1" s="130"/>
      <c r="C1" s="131"/>
      <c r="D1" s="115" t="s">
        <v>5</v>
      </c>
      <c r="E1" s="130"/>
      <c r="F1" s="131"/>
    </row>
    <row r="2" spans="1:6">
      <c r="A2" s="78" t="s">
        <v>4</v>
      </c>
      <c r="B2" s="79">
        <v>5000</v>
      </c>
      <c r="C2" s="80"/>
      <c r="D2" s="78" t="s">
        <v>4</v>
      </c>
      <c r="E2" s="79">
        <v>5000</v>
      </c>
      <c r="F2" s="81"/>
    </row>
    <row r="3" spans="1:6">
      <c r="A3" s="82" t="s">
        <v>83</v>
      </c>
      <c r="B3" s="83" t="s">
        <v>84</v>
      </c>
      <c r="C3" s="84" t="s">
        <v>85</v>
      </c>
      <c r="D3" s="82" t="s">
        <v>83</v>
      </c>
      <c r="E3" s="83" t="s">
        <v>84</v>
      </c>
      <c r="F3" s="84" t="s">
        <v>85</v>
      </c>
    </row>
    <row r="4" spans="1:6">
      <c r="A4" s="85" t="s">
        <v>48</v>
      </c>
      <c r="B4" s="86">
        <v>300</v>
      </c>
      <c r="C4" s="81">
        <v>20</v>
      </c>
      <c r="D4" s="85" t="s">
        <v>61</v>
      </c>
      <c r="E4" s="86">
        <v>300</v>
      </c>
      <c r="F4" s="81">
        <v>10</v>
      </c>
    </row>
    <row r="5" spans="1:6">
      <c r="A5" s="85" t="s">
        <v>49</v>
      </c>
      <c r="B5" s="86">
        <v>600</v>
      </c>
      <c r="C5" s="81">
        <v>60</v>
      </c>
      <c r="D5" s="85" t="s">
        <v>62</v>
      </c>
      <c r="E5" s="86">
        <v>600</v>
      </c>
      <c r="F5" s="81">
        <v>30</v>
      </c>
    </row>
    <row r="6" spans="1:6">
      <c r="A6" s="85" t="s">
        <v>50</v>
      </c>
      <c r="B6" s="86">
        <v>600</v>
      </c>
      <c r="C6" s="81">
        <v>60</v>
      </c>
      <c r="D6" s="85" t="s">
        <v>63</v>
      </c>
      <c r="E6" s="86">
        <v>600</v>
      </c>
      <c r="F6" s="81">
        <v>30</v>
      </c>
    </row>
    <row r="7" spans="1:6">
      <c r="A7" s="85" t="s">
        <v>51</v>
      </c>
      <c r="B7" s="86">
        <v>400</v>
      </c>
      <c r="C7" s="81">
        <v>30</v>
      </c>
      <c r="D7" s="85" t="s">
        <v>64</v>
      </c>
      <c r="E7" s="86">
        <v>400</v>
      </c>
      <c r="F7" s="81">
        <v>15</v>
      </c>
    </row>
    <row r="8" spans="1:6">
      <c r="A8" s="85" t="s">
        <v>52</v>
      </c>
      <c r="B8" s="86">
        <v>500</v>
      </c>
      <c r="C8" s="81">
        <v>40</v>
      </c>
      <c r="D8" s="85" t="s">
        <v>65</v>
      </c>
      <c r="E8" s="86">
        <v>500</v>
      </c>
      <c r="F8" s="81">
        <v>20</v>
      </c>
    </row>
    <row r="9" spans="1:6">
      <c r="A9" s="85" t="s">
        <v>53</v>
      </c>
      <c r="B9" s="86">
        <v>300</v>
      </c>
      <c r="C9" s="81">
        <v>20</v>
      </c>
      <c r="D9" s="85" t="s">
        <v>66</v>
      </c>
      <c r="E9" s="86">
        <v>300</v>
      </c>
      <c r="F9" s="81">
        <v>10</v>
      </c>
    </row>
    <row r="10" spans="1:6">
      <c r="A10" s="87" t="s">
        <v>54</v>
      </c>
      <c r="B10" s="88">
        <v>500</v>
      </c>
      <c r="C10" s="89">
        <v>40</v>
      </c>
      <c r="D10" s="87" t="s">
        <v>67</v>
      </c>
      <c r="E10" s="88">
        <v>500</v>
      </c>
      <c r="F10" s="89">
        <v>20</v>
      </c>
    </row>
  </sheetData>
  <mergeCells count="2">
    <mergeCell ref="A1:C1"/>
    <mergeCell ref="D1:F1"/>
  </mergeCell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8"/>
  <sheetViews>
    <sheetView workbookViewId="0"/>
  </sheetViews>
  <sheetFormatPr defaultColWidth="12.5703125" defaultRowHeight="15.75" customHeight="1"/>
  <cols>
    <col min="1" max="1" width="22.42578125" customWidth="1"/>
    <col min="2" max="2" width="26" customWidth="1"/>
    <col min="3" max="3" width="17" customWidth="1"/>
  </cols>
  <sheetData>
    <row r="1" spans="1:3">
      <c r="A1" s="82" t="s">
        <v>86</v>
      </c>
      <c r="B1" s="90" t="s">
        <v>87</v>
      </c>
      <c r="C1" s="91" t="s">
        <v>88</v>
      </c>
    </row>
    <row r="2" spans="1:3">
      <c r="A2" s="85" t="s">
        <v>61</v>
      </c>
      <c r="B2" s="92" t="s">
        <v>48</v>
      </c>
      <c r="C2" s="93">
        <v>0.5</v>
      </c>
    </row>
    <row r="3" spans="1:3">
      <c r="A3" s="85" t="s">
        <v>62</v>
      </c>
      <c r="B3" s="92" t="s">
        <v>49</v>
      </c>
      <c r="C3" s="93">
        <v>0.5</v>
      </c>
    </row>
    <row r="4" spans="1:3">
      <c r="A4" s="85" t="s">
        <v>63</v>
      </c>
      <c r="B4" s="92" t="s">
        <v>50</v>
      </c>
      <c r="C4" s="93">
        <v>0.5</v>
      </c>
    </row>
    <row r="5" spans="1:3">
      <c r="A5" s="85" t="s">
        <v>64</v>
      </c>
      <c r="B5" s="92" t="s">
        <v>51</v>
      </c>
      <c r="C5" s="93">
        <v>0.5</v>
      </c>
    </row>
    <row r="6" spans="1:3">
      <c r="A6" s="85" t="s">
        <v>65</v>
      </c>
      <c r="B6" s="92" t="s">
        <v>52</v>
      </c>
      <c r="C6" s="93">
        <v>0.5</v>
      </c>
    </row>
    <row r="7" spans="1:3">
      <c r="A7" s="85" t="s">
        <v>66</v>
      </c>
      <c r="B7" s="92" t="s">
        <v>53</v>
      </c>
      <c r="C7" s="93">
        <v>0.5</v>
      </c>
    </row>
    <row r="8" spans="1:3">
      <c r="A8" s="87" t="s">
        <v>67</v>
      </c>
      <c r="B8" s="94" t="s">
        <v>54</v>
      </c>
      <c r="C8" s="95">
        <v>0.5</v>
      </c>
    </row>
  </sheetData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400-000000000000}">
          <x14:formula1>
            <xm:f>dataroles!$D$4:$D8</xm:f>
          </x14:formula1>
          <xm:sqref>A2:A8</xm:sqref>
        </x14:dataValidation>
        <x14:dataValidation type="list" allowBlank="1" showErrorMessage="1" xr:uid="{00000000-0002-0000-0400-000001000000}">
          <x14:formula1>
            <xm:f>dataroles!$A$4:$A8</xm:f>
          </x14:formula1>
          <xm:sqref>B2:B8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outlineLevelCol="1"/>
  <cols>
    <col min="1" max="1" width="14.42578125" customWidth="1"/>
    <col min="2" max="2" width="31.85546875" customWidth="1"/>
    <col min="3" max="3" width="10.140625" customWidth="1"/>
    <col min="4" max="4" width="16.42578125" customWidth="1"/>
    <col min="5" max="5" width="9.42578125" customWidth="1" collapsed="1"/>
    <col min="6" max="6" width="7.5703125" hidden="1" customWidth="1" outlineLevel="1"/>
    <col min="7" max="7" width="17.28515625" hidden="1" customWidth="1" outlineLevel="1"/>
    <col min="8" max="8" width="7.42578125" hidden="1" customWidth="1" outlineLevel="1"/>
  </cols>
  <sheetData>
    <row r="1" spans="1:8">
      <c r="A1" s="26" t="s">
        <v>89</v>
      </c>
      <c r="B1" s="96" t="s">
        <v>90</v>
      </c>
      <c r="C1" s="96" t="s">
        <v>91</v>
      </c>
      <c r="D1" s="96" t="s">
        <v>92</v>
      </c>
      <c r="E1" s="97" t="s">
        <v>93</v>
      </c>
      <c r="F1" s="98" t="s">
        <v>94</v>
      </c>
      <c r="G1" s="99" t="s">
        <v>95</v>
      </c>
      <c r="H1" s="98" t="s">
        <v>96</v>
      </c>
    </row>
    <row r="2" spans="1:8">
      <c r="A2" s="100" t="s">
        <v>78</v>
      </c>
      <c r="B2" s="101" t="s">
        <v>97</v>
      </c>
      <c r="C2" s="74" t="s">
        <v>98</v>
      </c>
      <c r="D2" s="74" t="s">
        <v>99</v>
      </c>
      <c r="E2" s="50" t="s">
        <v>100</v>
      </c>
      <c r="F2" s="102" t="s">
        <v>101</v>
      </c>
      <c r="G2" s="103" t="s">
        <v>102</v>
      </c>
      <c r="H2" s="102" t="s">
        <v>103</v>
      </c>
    </row>
    <row r="3" spans="1:8">
      <c r="A3" s="104" t="s">
        <v>73</v>
      </c>
      <c r="B3" s="105" t="s">
        <v>104</v>
      </c>
      <c r="C3" s="74" t="s">
        <v>101</v>
      </c>
      <c r="D3" s="74" t="s">
        <v>105</v>
      </c>
      <c r="E3" s="50" t="s">
        <v>103</v>
      </c>
      <c r="F3" s="106" t="s">
        <v>98</v>
      </c>
      <c r="G3" s="107" t="s">
        <v>106</v>
      </c>
      <c r="H3" s="107" t="s">
        <v>107</v>
      </c>
    </row>
    <row r="4" spans="1:8">
      <c r="A4" s="104" t="s">
        <v>71</v>
      </c>
      <c r="B4" s="105" t="s">
        <v>108</v>
      </c>
      <c r="C4" s="74" t="s">
        <v>101</v>
      </c>
      <c r="D4" s="74" t="s">
        <v>106</v>
      </c>
      <c r="E4" s="50" t="s">
        <v>109</v>
      </c>
      <c r="G4" s="108" t="s">
        <v>110</v>
      </c>
      <c r="H4" s="108" t="s">
        <v>100</v>
      </c>
    </row>
    <row r="5" spans="1:8">
      <c r="A5" s="104" t="s">
        <v>80</v>
      </c>
      <c r="B5" s="105" t="s">
        <v>111</v>
      </c>
      <c r="C5" s="74" t="s">
        <v>98</v>
      </c>
      <c r="D5" s="74" t="s">
        <v>102</v>
      </c>
      <c r="E5" s="50" t="s">
        <v>109</v>
      </c>
      <c r="G5" s="108" t="s">
        <v>112</v>
      </c>
      <c r="H5" s="109" t="s">
        <v>109</v>
      </c>
    </row>
    <row r="6" spans="1:8">
      <c r="A6" s="104" t="s">
        <v>75</v>
      </c>
      <c r="B6" s="105" t="s">
        <v>113</v>
      </c>
      <c r="C6" s="74" t="s">
        <v>101</v>
      </c>
      <c r="D6" s="74" t="s">
        <v>114</v>
      </c>
      <c r="E6" s="50" t="s">
        <v>107</v>
      </c>
      <c r="G6" s="110" t="s">
        <v>99</v>
      </c>
    </row>
    <row r="7" spans="1:8">
      <c r="A7" s="104" t="s">
        <v>72</v>
      </c>
      <c r="B7" s="105" t="s">
        <v>115</v>
      </c>
      <c r="C7" s="74" t="s">
        <v>101</v>
      </c>
      <c r="D7" s="74" t="s">
        <v>112</v>
      </c>
      <c r="E7" s="50" t="s">
        <v>109</v>
      </c>
      <c r="G7" s="110" t="s">
        <v>116</v>
      </c>
    </row>
    <row r="8" spans="1:8">
      <c r="A8" s="104" t="s">
        <v>77</v>
      </c>
      <c r="B8" s="105" t="s">
        <v>117</v>
      </c>
      <c r="C8" s="74" t="s">
        <v>98</v>
      </c>
      <c r="D8" s="74" t="s">
        <v>102</v>
      </c>
      <c r="E8" s="50" t="s">
        <v>109</v>
      </c>
      <c r="G8" s="110" t="s">
        <v>118</v>
      </c>
    </row>
    <row r="9" spans="1:8">
      <c r="A9" s="104" t="s">
        <v>79</v>
      </c>
      <c r="B9" s="105" t="s">
        <v>119</v>
      </c>
      <c r="C9" s="74" t="s">
        <v>98</v>
      </c>
      <c r="D9" s="74" t="s">
        <v>116</v>
      </c>
      <c r="E9" s="50" t="s">
        <v>100</v>
      </c>
      <c r="G9" s="110" t="s">
        <v>114</v>
      </c>
    </row>
    <row r="10" spans="1:8">
      <c r="A10" s="104" t="s">
        <v>120</v>
      </c>
      <c r="B10" s="105" t="s">
        <v>121</v>
      </c>
      <c r="C10" s="74" t="s">
        <v>98</v>
      </c>
      <c r="D10" s="74" t="s">
        <v>116</v>
      </c>
      <c r="E10" s="50" t="s">
        <v>100</v>
      </c>
      <c r="G10" s="110" t="s">
        <v>122</v>
      </c>
    </row>
    <row r="11" spans="1:8">
      <c r="A11" s="104" t="s">
        <v>81</v>
      </c>
      <c r="B11" s="105" t="s">
        <v>123</v>
      </c>
      <c r="C11" s="74" t="s">
        <v>98</v>
      </c>
      <c r="D11" s="74" t="s">
        <v>110</v>
      </c>
      <c r="E11" s="50" t="s">
        <v>109</v>
      </c>
    </row>
    <row r="12" spans="1:8">
      <c r="A12" s="104" t="s">
        <v>76</v>
      </c>
      <c r="B12" s="105" t="s">
        <v>124</v>
      </c>
      <c r="C12" s="74" t="s">
        <v>98</v>
      </c>
      <c r="D12" s="74" t="s">
        <v>105</v>
      </c>
      <c r="E12" s="50" t="s">
        <v>107</v>
      </c>
    </row>
    <row r="13" spans="1:8">
      <c r="A13" s="49" t="s">
        <v>70</v>
      </c>
      <c r="B13" s="74" t="s">
        <v>125</v>
      </c>
      <c r="C13" s="74" t="s">
        <v>101</v>
      </c>
      <c r="D13" s="74" t="s">
        <v>106</v>
      </c>
      <c r="E13" s="50" t="s">
        <v>100</v>
      </c>
    </row>
    <row r="14" spans="1:8">
      <c r="A14" s="49" t="s">
        <v>74</v>
      </c>
      <c r="B14" s="74" t="s">
        <v>126</v>
      </c>
      <c r="C14" s="74" t="s">
        <v>101</v>
      </c>
      <c r="D14" s="74" t="s">
        <v>114</v>
      </c>
      <c r="E14" s="50" t="s">
        <v>103</v>
      </c>
    </row>
    <row r="15" spans="1:8">
      <c r="A15" s="49"/>
      <c r="C15" s="74" t="s">
        <v>105</v>
      </c>
      <c r="D15" s="74" t="s">
        <v>105</v>
      </c>
      <c r="E15" s="50" t="s">
        <v>105</v>
      </c>
    </row>
    <row r="16" spans="1:8">
      <c r="A16" s="49"/>
      <c r="C16" s="74" t="s">
        <v>105</v>
      </c>
      <c r="D16" s="74" t="s">
        <v>105</v>
      </c>
      <c r="E16" s="50" t="s">
        <v>105</v>
      </c>
    </row>
    <row r="17" spans="1:5">
      <c r="A17" s="49"/>
      <c r="C17" s="74" t="s">
        <v>105</v>
      </c>
      <c r="D17" s="74" t="s">
        <v>105</v>
      </c>
      <c r="E17" s="50" t="s">
        <v>105</v>
      </c>
    </row>
    <row r="18" spans="1:5">
      <c r="A18" s="49"/>
      <c r="C18" s="74" t="s">
        <v>105</v>
      </c>
      <c r="D18" s="74" t="s">
        <v>105</v>
      </c>
      <c r="E18" s="50" t="s">
        <v>105</v>
      </c>
    </row>
    <row r="19" spans="1:5">
      <c r="A19" s="49"/>
      <c r="C19" s="74" t="s">
        <v>105</v>
      </c>
      <c r="D19" s="74" t="s">
        <v>105</v>
      </c>
      <c r="E19" s="50" t="s">
        <v>105</v>
      </c>
    </row>
    <row r="20" spans="1:5">
      <c r="A20" s="49"/>
      <c r="C20" s="74" t="s">
        <v>105</v>
      </c>
      <c r="D20" s="74" t="s">
        <v>105</v>
      </c>
      <c r="E20" s="50" t="s">
        <v>105</v>
      </c>
    </row>
    <row r="21" spans="1:5">
      <c r="A21" s="49"/>
      <c r="C21" s="74" t="s">
        <v>105</v>
      </c>
      <c r="D21" s="74" t="s">
        <v>105</v>
      </c>
      <c r="E21" s="50" t="s">
        <v>105</v>
      </c>
    </row>
    <row r="22" spans="1:5">
      <c r="A22" s="49"/>
      <c r="C22" s="74" t="s">
        <v>105</v>
      </c>
      <c r="D22" s="74" t="s">
        <v>105</v>
      </c>
      <c r="E22" s="50" t="s">
        <v>105</v>
      </c>
    </row>
    <row r="23" spans="1:5">
      <c r="A23" s="49"/>
      <c r="C23" s="74" t="s">
        <v>105</v>
      </c>
      <c r="D23" s="74" t="s">
        <v>105</v>
      </c>
      <c r="E23" s="50" t="s">
        <v>105</v>
      </c>
    </row>
    <row r="24" spans="1:5">
      <c r="A24" s="49"/>
      <c r="C24" s="74" t="s">
        <v>105</v>
      </c>
      <c r="D24" s="74" t="s">
        <v>105</v>
      </c>
      <c r="E24" s="50" t="s">
        <v>105</v>
      </c>
    </row>
    <row r="25" spans="1:5">
      <c r="A25" s="49"/>
      <c r="C25" s="74" t="s">
        <v>105</v>
      </c>
      <c r="D25" s="74" t="s">
        <v>105</v>
      </c>
      <c r="E25" s="50" t="s">
        <v>105</v>
      </c>
    </row>
    <row r="26" spans="1:5">
      <c r="A26" s="49"/>
      <c r="C26" s="74" t="s">
        <v>105</v>
      </c>
      <c r="D26" s="74" t="s">
        <v>105</v>
      </c>
      <c r="E26" s="50" t="s">
        <v>105</v>
      </c>
    </row>
    <row r="27" spans="1:5">
      <c r="A27" s="49"/>
      <c r="C27" s="74" t="s">
        <v>105</v>
      </c>
      <c r="D27" s="74" t="s">
        <v>105</v>
      </c>
      <c r="E27" s="50" t="s">
        <v>105</v>
      </c>
    </row>
    <row r="28" spans="1:5">
      <c r="A28" s="49"/>
      <c r="C28" s="74" t="s">
        <v>105</v>
      </c>
      <c r="D28" s="74" t="s">
        <v>105</v>
      </c>
      <c r="E28" s="50" t="s">
        <v>105</v>
      </c>
    </row>
    <row r="29" spans="1:5">
      <c r="A29" s="49"/>
      <c r="C29" s="74" t="s">
        <v>105</v>
      </c>
      <c r="D29" s="74" t="s">
        <v>105</v>
      </c>
      <c r="E29" s="50" t="s">
        <v>105</v>
      </c>
    </row>
    <row r="30" spans="1:5">
      <c r="A30" s="49"/>
      <c r="C30" s="74" t="s">
        <v>105</v>
      </c>
      <c r="D30" s="74" t="s">
        <v>105</v>
      </c>
      <c r="E30" s="50" t="s">
        <v>105</v>
      </c>
    </row>
    <row r="31" spans="1:5">
      <c r="A31" s="49"/>
      <c r="C31" s="74" t="s">
        <v>105</v>
      </c>
      <c r="D31" s="74" t="s">
        <v>105</v>
      </c>
      <c r="E31" s="50" t="s">
        <v>105</v>
      </c>
    </row>
    <row r="32" spans="1:5">
      <c r="A32" s="49"/>
      <c r="C32" s="74" t="s">
        <v>105</v>
      </c>
      <c r="D32" s="74" t="s">
        <v>105</v>
      </c>
      <c r="E32" s="50" t="s">
        <v>105</v>
      </c>
    </row>
    <row r="33" spans="1:5">
      <c r="A33" s="49"/>
      <c r="C33" s="74" t="s">
        <v>105</v>
      </c>
      <c r="D33" s="74" t="s">
        <v>105</v>
      </c>
      <c r="E33" s="50" t="s">
        <v>105</v>
      </c>
    </row>
    <row r="34" spans="1:5">
      <c r="A34" s="49"/>
      <c r="C34" s="74" t="s">
        <v>105</v>
      </c>
      <c r="D34" s="74" t="s">
        <v>105</v>
      </c>
      <c r="E34" s="50" t="s">
        <v>105</v>
      </c>
    </row>
    <row r="35" spans="1:5">
      <c r="A35" s="49"/>
      <c r="C35" s="74" t="s">
        <v>105</v>
      </c>
      <c r="D35" s="74" t="s">
        <v>105</v>
      </c>
      <c r="E35" s="50" t="s">
        <v>105</v>
      </c>
    </row>
    <row r="36" spans="1:5">
      <c r="A36" s="49"/>
      <c r="C36" s="74" t="s">
        <v>105</v>
      </c>
      <c r="D36" s="74" t="s">
        <v>105</v>
      </c>
      <c r="E36" s="50" t="s">
        <v>105</v>
      </c>
    </row>
    <row r="37" spans="1:5">
      <c r="A37" s="49"/>
      <c r="C37" s="74" t="s">
        <v>105</v>
      </c>
      <c r="D37" s="74" t="s">
        <v>105</v>
      </c>
      <c r="E37" s="50" t="s">
        <v>105</v>
      </c>
    </row>
    <row r="38" spans="1:5">
      <c r="A38" s="49"/>
      <c r="C38" s="74" t="s">
        <v>105</v>
      </c>
      <c r="D38" s="74" t="s">
        <v>105</v>
      </c>
      <c r="E38" s="50" t="s">
        <v>105</v>
      </c>
    </row>
    <row r="39" spans="1:5">
      <c r="A39" s="49"/>
      <c r="C39" s="74" t="s">
        <v>105</v>
      </c>
      <c r="D39" s="74" t="s">
        <v>105</v>
      </c>
      <c r="E39" s="50" t="s">
        <v>105</v>
      </c>
    </row>
    <row r="40" spans="1:5">
      <c r="A40" s="49"/>
      <c r="C40" s="74" t="s">
        <v>105</v>
      </c>
      <c r="D40" s="74" t="s">
        <v>105</v>
      </c>
      <c r="E40" s="50" t="s">
        <v>105</v>
      </c>
    </row>
    <row r="41" spans="1:5">
      <c r="A41" s="49"/>
      <c r="C41" s="74" t="s">
        <v>105</v>
      </c>
      <c r="D41" s="74" t="s">
        <v>105</v>
      </c>
      <c r="E41" s="50" t="s">
        <v>105</v>
      </c>
    </row>
    <row r="42" spans="1:5">
      <c r="A42" s="49"/>
      <c r="C42" s="74" t="s">
        <v>105</v>
      </c>
      <c r="D42" s="74" t="s">
        <v>105</v>
      </c>
      <c r="E42" s="50" t="s">
        <v>105</v>
      </c>
    </row>
    <row r="43" spans="1:5">
      <c r="A43" s="49"/>
      <c r="C43" s="74" t="s">
        <v>105</v>
      </c>
      <c r="D43" s="74" t="s">
        <v>105</v>
      </c>
      <c r="E43" s="50" t="s">
        <v>105</v>
      </c>
    </row>
    <row r="44" spans="1:5">
      <c r="A44" s="49"/>
      <c r="C44" s="74" t="s">
        <v>105</v>
      </c>
      <c r="D44" s="74" t="s">
        <v>105</v>
      </c>
      <c r="E44" s="50" t="s">
        <v>105</v>
      </c>
    </row>
    <row r="45" spans="1:5">
      <c r="A45" s="49"/>
      <c r="C45" s="74" t="s">
        <v>105</v>
      </c>
      <c r="D45" s="74" t="s">
        <v>105</v>
      </c>
      <c r="E45" s="50" t="s">
        <v>105</v>
      </c>
    </row>
    <row r="46" spans="1:5">
      <c r="A46" s="49"/>
      <c r="C46" s="74" t="s">
        <v>105</v>
      </c>
      <c r="D46" s="74" t="s">
        <v>105</v>
      </c>
      <c r="E46" s="50" t="s">
        <v>105</v>
      </c>
    </row>
    <row r="47" spans="1:5">
      <c r="A47" s="49"/>
      <c r="C47" s="74" t="s">
        <v>105</v>
      </c>
      <c r="D47" s="74" t="s">
        <v>105</v>
      </c>
      <c r="E47" s="50" t="s">
        <v>105</v>
      </c>
    </row>
    <row r="48" spans="1:5">
      <c r="A48" s="49"/>
      <c r="C48" s="74" t="s">
        <v>105</v>
      </c>
      <c r="D48" s="74" t="s">
        <v>105</v>
      </c>
      <c r="E48" s="50" t="s">
        <v>105</v>
      </c>
    </row>
    <row r="49" spans="1:5">
      <c r="A49" s="49"/>
      <c r="C49" s="74" t="s">
        <v>105</v>
      </c>
      <c r="D49" s="74" t="s">
        <v>105</v>
      </c>
      <c r="E49" s="50" t="s">
        <v>105</v>
      </c>
    </row>
    <row r="50" spans="1:5">
      <c r="A50" s="49"/>
      <c r="C50" s="74" t="s">
        <v>105</v>
      </c>
      <c r="D50" s="74" t="s">
        <v>105</v>
      </c>
      <c r="E50" s="50" t="s">
        <v>105</v>
      </c>
    </row>
    <row r="51" spans="1:5">
      <c r="A51" s="49"/>
      <c r="C51" s="74" t="s">
        <v>105</v>
      </c>
      <c r="D51" s="74" t="s">
        <v>105</v>
      </c>
      <c r="E51" s="50" t="s">
        <v>105</v>
      </c>
    </row>
    <row r="52" spans="1:5">
      <c r="A52" s="49"/>
      <c r="C52" s="74" t="s">
        <v>105</v>
      </c>
      <c r="D52" s="74" t="s">
        <v>105</v>
      </c>
      <c r="E52" s="50" t="s">
        <v>105</v>
      </c>
    </row>
    <row r="53" spans="1:5">
      <c r="A53" s="49"/>
      <c r="C53" s="74" t="s">
        <v>105</v>
      </c>
      <c r="D53" s="74" t="s">
        <v>105</v>
      </c>
      <c r="E53" s="50" t="s">
        <v>105</v>
      </c>
    </row>
    <row r="54" spans="1:5">
      <c r="A54" s="49"/>
      <c r="C54" s="74" t="s">
        <v>105</v>
      </c>
      <c r="D54" s="74" t="s">
        <v>105</v>
      </c>
      <c r="E54" s="50" t="s">
        <v>105</v>
      </c>
    </row>
    <row r="55" spans="1:5">
      <c r="A55" s="49"/>
      <c r="C55" s="74" t="s">
        <v>105</v>
      </c>
      <c r="D55" s="74" t="s">
        <v>105</v>
      </c>
      <c r="E55" s="50" t="s">
        <v>105</v>
      </c>
    </row>
    <row r="56" spans="1:5">
      <c r="A56" s="49"/>
      <c r="C56" s="74" t="s">
        <v>105</v>
      </c>
      <c r="D56" s="74" t="s">
        <v>105</v>
      </c>
      <c r="E56" s="50" t="s">
        <v>105</v>
      </c>
    </row>
    <row r="57" spans="1:5">
      <c r="A57" s="49"/>
      <c r="C57" s="74" t="s">
        <v>105</v>
      </c>
      <c r="D57" s="74" t="s">
        <v>105</v>
      </c>
      <c r="E57" s="50" t="s">
        <v>105</v>
      </c>
    </row>
    <row r="58" spans="1:5">
      <c r="A58" s="49"/>
      <c r="C58" s="74" t="s">
        <v>105</v>
      </c>
      <c r="D58" s="74" t="s">
        <v>105</v>
      </c>
      <c r="E58" s="50" t="s">
        <v>105</v>
      </c>
    </row>
    <row r="59" spans="1:5">
      <c r="A59" s="49"/>
      <c r="C59" s="74" t="s">
        <v>105</v>
      </c>
      <c r="D59" s="74" t="s">
        <v>105</v>
      </c>
      <c r="E59" s="50" t="s">
        <v>105</v>
      </c>
    </row>
    <row r="60" spans="1:5">
      <c r="A60" s="49"/>
      <c r="C60" s="74" t="s">
        <v>105</v>
      </c>
      <c r="D60" s="74" t="s">
        <v>105</v>
      </c>
      <c r="E60" s="50" t="s">
        <v>105</v>
      </c>
    </row>
    <row r="61" spans="1:5">
      <c r="A61" s="49"/>
      <c r="C61" s="74" t="s">
        <v>105</v>
      </c>
      <c r="D61" s="74" t="s">
        <v>105</v>
      </c>
      <c r="E61" s="50" t="s">
        <v>105</v>
      </c>
    </row>
    <row r="62" spans="1:5">
      <c r="A62" s="49"/>
      <c r="C62" s="74" t="s">
        <v>105</v>
      </c>
      <c r="D62" s="74" t="s">
        <v>105</v>
      </c>
      <c r="E62" s="50" t="s">
        <v>105</v>
      </c>
    </row>
    <row r="63" spans="1:5">
      <c r="A63" s="49"/>
      <c r="C63" s="74" t="s">
        <v>105</v>
      </c>
      <c r="D63" s="74" t="s">
        <v>105</v>
      </c>
      <c r="E63" s="50" t="s">
        <v>105</v>
      </c>
    </row>
    <row r="64" spans="1:5">
      <c r="A64" s="49"/>
      <c r="C64" s="74" t="s">
        <v>105</v>
      </c>
      <c r="D64" s="74" t="s">
        <v>105</v>
      </c>
      <c r="E64" s="50" t="s">
        <v>105</v>
      </c>
    </row>
    <row r="65" spans="1:5">
      <c r="A65" s="49"/>
      <c r="C65" s="74" t="s">
        <v>105</v>
      </c>
      <c r="D65" s="74" t="s">
        <v>105</v>
      </c>
      <c r="E65" s="50" t="s">
        <v>105</v>
      </c>
    </row>
    <row r="66" spans="1:5">
      <c r="A66" s="49"/>
      <c r="C66" s="74" t="s">
        <v>105</v>
      </c>
      <c r="D66" s="74" t="s">
        <v>105</v>
      </c>
      <c r="E66" s="50" t="s">
        <v>105</v>
      </c>
    </row>
    <row r="67" spans="1:5">
      <c r="A67" s="49"/>
      <c r="C67" s="74" t="s">
        <v>105</v>
      </c>
      <c r="D67" s="74" t="s">
        <v>105</v>
      </c>
      <c r="E67" s="50" t="s">
        <v>105</v>
      </c>
    </row>
    <row r="68" spans="1:5">
      <c r="A68" s="49"/>
      <c r="C68" s="74" t="s">
        <v>105</v>
      </c>
      <c r="D68" s="74" t="s">
        <v>105</v>
      </c>
      <c r="E68" s="50" t="s">
        <v>105</v>
      </c>
    </row>
    <row r="69" spans="1:5">
      <c r="A69" s="49"/>
      <c r="C69" s="74" t="s">
        <v>105</v>
      </c>
      <c r="D69" s="74" t="s">
        <v>105</v>
      </c>
      <c r="E69" s="50" t="s">
        <v>105</v>
      </c>
    </row>
    <row r="70" spans="1:5">
      <c r="A70" s="49"/>
      <c r="C70" s="74" t="s">
        <v>105</v>
      </c>
      <c r="D70" s="74" t="s">
        <v>105</v>
      </c>
      <c r="E70" s="50" t="s">
        <v>105</v>
      </c>
    </row>
    <row r="71" spans="1:5">
      <c r="A71" s="49"/>
      <c r="C71" s="74" t="s">
        <v>105</v>
      </c>
      <c r="D71" s="74" t="s">
        <v>105</v>
      </c>
      <c r="E71" s="50" t="s">
        <v>105</v>
      </c>
    </row>
    <row r="72" spans="1:5">
      <c r="A72" s="49"/>
      <c r="C72" s="74" t="s">
        <v>105</v>
      </c>
      <c r="D72" s="74" t="s">
        <v>105</v>
      </c>
      <c r="E72" s="50" t="s">
        <v>105</v>
      </c>
    </row>
    <row r="73" spans="1:5">
      <c r="A73" s="49"/>
      <c r="C73" s="74" t="s">
        <v>105</v>
      </c>
      <c r="D73" s="74" t="s">
        <v>105</v>
      </c>
      <c r="E73" s="50" t="s">
        <v>105</v>
      </c>
    </row>
    <row r="74" spans="1:5">
      <c r="A74" s="49"/>
      <c r="C74" s="74" t="s">
        <v>105</v>
      </c>
      <c r="D74" s="74" t="s">
        <v>105</v>
      </c>
      <c r="E74" s="50" t="s">
        <v>105</v>
      </c>
    </row>
    <row r="75" spans="1:5">
      <c r="A75" s="49"/>
      <c r="C75" s="74" t="s">
        <v>105</v>
      </c>
      <c r="D75" s="74" t="s">
        <v>105</v>
      </c>
      <c r="E75" s="50" t="s">
        <v>105</v>
      </c>
    </row>
    <row r="76" spans="1:5">
      <c r="A76" s="49"/>
      <c r="C76" s="74" t="s">
        <v>105</v>
      </c>
      <c r="D76" s="74" t="s">
        <v>105</v>
      </c>
      <c r="E76" s="50" t="s">
        <v>105</v>
      </c>
    </row>
    <row r="77" spans="1:5">
      <c r="A77" s="49"/>
      <c r="C77" s="74" t="s">
        <v>105</v>
      </c>
      <c r="D77" s="74" t="s">
        <v>105</v>
      </c>
      <c r="E77" s="50" t="s">
        <v>105</v>
      </c>
    </row>
    <row r="78" spans="1:5">
      <c r="A78" s="49"/>
      <c r="C78" s="74" t="s">
        <v>105</v>
      </c>
      <c r="D78" s="74" t="s">
        <v>105</v>
      </c>
      <c r="E78" s="50" t="s">
        <v>105</v>
      </c>
    </row>
    <row r="79" spans="1:5">
      <c r="A79" s="49"/>
      <c r="C79" s="74" t="s">
        <v>105</v>
      </c>
      <c r="D79" s="74" t="s">
        <v>105</v>
      </c>
      <c r="E79" s="50" t="s">
        <v>105</v>
      </c>
    </row>
    <row r="80" spans="1:5">
      <c r="A80" s="49"/>
      <c r="C80" s="74" t="s">
        <v>105</v>
      </c>
      <c r="D80" s="74" t="s">
        <v>105</v>
      </c>
      <c r="E80" s="50" t="s">
        <v>105</v>
      </c>
    </row>
    <row r="81" spans="1:5">
      <c r="A81" s="49"/>
      <c r="C81" s="74" t="s">
        <v>105</v>
      </c>
      <c r="D81" s="74" t="s">
        <v>105</v>
      </c>
      <c r="E81" s="50" t="s">
        <v>105</v>
      </c>
    </row>
    <row r="82" spans="1:5">
      <c r="A82" s="49"/>
      <c r="C82" s="74" t="s">
        <v>105</v>
      </c>
      <c r="D82" s="74" t="s">
        <v>105</v>
      </c>
      <c r="E82" s="50" t="s">
        <v>105</v>
      </c>
    </row>
    <row r="83" spans="1:5">
      <c r="A83" s="49"/>
      <c r="C83" s="74" t="s">
        <v>105</v>
      </c>
      <c r="D83" s="74" t="s">
        <v>105</v>
      </c>
      <c r="E83" s="50" t="s">
        <v>105</v>
      </c>
    </row>
    <row r="84" spans="1:5">
      <c r="A84" s="49"/>
      <c r="C84" s="74" t="s">
        <v>105</v>
      </c>
      <c r="D84" s="74" t="s">
        <v>105</v>
      </c>
      <c r="E84" s="50" t="s">
        <v>105</v>
      </c>
    </row>
    <row r="85" spans="1:5">
      <c r="A85" s="49"/>
      <c r="C85" s="74" t="s">
        <v>105</v>
      </c>
      <c r="D85" s="74" t="s">
        <v>105</v>
      </c>
      <c r="E85" s="50" t="s">
        <v>105</v>
      </c>
    </row>
    <row r="86" spans="1:5">
      <c r="A86" s="49"/>
      <c r="C86" s="74" t="s">
        <v>105</v>
      </c>
      <c r="D86" s="74" t="s">
        <v>105</v>
      </c>
      <c r="E86" s="50" t="s">
        <v>105</v>
      </c>
    </row>
    <row r="87" spans="1:5">
      <c r="A87" s="49"/>
      <c r="C87" s="74" t="s">
        <v>105</v>
      </c>
      <c r="D87" s="74" t="s">
        <v>105</v>
      </c>
      <c r="E87" s="50" t="s">
        <v>105</v>
      </c>
    </row>
    <row r="88" spans="1:5">
      <c r="A88" s="49"/>
      <c r="C88" s="74" t="s">
        <v>105</v>
      </c>
      <c r="D88" s="74" t="s">
        <v>105</v>
      </c>
      <c r="E88" s="50" t="s">
        <v>105</v>
      </c>
    </row>
    <row r="89" spans="1:5">
      <c r="A89" s="49"/>
      <c r="C89" s="74" t="s">
        <v>105</v>
      </c>
      <c r="D89" s="74" t="s">
        <v>105</v>
      </c>
      <c r="E89" s="50" t="s">
        <v>105</v>
      </c>
    </row>
    <row r="90" spans="1:5">
      <c r="A90" s="49"/>
      <c r="C90" s="74" t="s">
        <v>105</v>
      </c>
      <c r="D90" s="74" t="s">
        <v>105</v>
      </c>
      <c r="E90" s="50" t="s">
        <v>105</v>
      </c>
    </row>
    <row r="91" spans="1:5">
      <c r="A91" s="49"/>
      <c r="C91" s="74" t="s">
        <v>105</v>
      </c>
      <c r="D91" s="74" t="s">
        <v>105</v>
      </c>
      <c r="E91" s="50" t="s">
        <v>105</v>
      </c>
    </row>
    <row r="92" spans="1:5">
      <c r="A92" s="49"/>
      <c r="C92" s="74" t="s">
        <v>105</v>
      </c>
      <c r="D92" s="74" t="s">
        <v>105</v>
      </c>
      <c r="E92" s="50" t="s">
        <v>105</v>
      </c>
    </row>
    <row r="93" spans="1:5">
      <c r="A93" s="49"/>
      <c r="C93" s="74" t="s">
        <v>105</v>
      </c>
      <c r="D93" s="74" t="s">
        <v>105</v>
      </c>
      <c r="E93" s="50" t="s">
        <v>105</v>
      </c>
    </row>
    <row r="94" spans="1:5">
      <c r="A94" s="49"/>
      <c r="C94" s="74" t="s">
        <v>105</v>
      </c>
      <c r="D94" s="74" t="s">
        <v>105</v>
      </c>
      <c r="E94" s="50" t="s">
        <v>105</v>
      </c>
    </row>
    <row r="95" spans="1:5">
      <c r="A95" s="49"/>
      <c r="C95" s="74" t="s">
        <v>105</v>
      </c>
      <c r="D95" s="74" t="s">
        <v>105</v>
      </c>
      <c r="E95" s="50" t="s">
        <v>105</v>
      </c>
    </row>
    <row r="96" spans="1:5">
      <c r="A96" s="49"/>
      <c r="C96" s="74" t="s">
        <v>105</v>
      </c>
      <c r="D96" s="74" t="s">
        <v>105</v>
      </c>
      <c r="E96" s="50" t="s">
        <v>105</v>
      </c>
    </row>
    <row r="97" spans="1:8">
      <c r="A97" s="49"/>
      <c r="C97" s="74" t="s">
        <v>105</v>
      </c>
      <c r="D97" s="74" t="s">
        <v>105</v>
      </c>
      <c r="E97" s="50" t="s">
        <v>105</v>
      </c>
    </row>
    <row r="98" spans="1:8">
      <c r="A98" s="49"/>
      <c r="C98" s="74" t="s">
        <v>105</v>
      </c>
      <c r="D98" s="74" t="s">
        <v>105</v>
      </c>
      <c r="E98" s="50" t="s">
        <v>105</v>
      </c>
    </row>
    <row r="99" spans="1:8">
      <c r="A99" s="49"/>
      <c r="C99" s="74" t="s">
        <v>105</v>
      </c>
      <c r="D99" s="74" t="s">
        <v>105</v>
      </c>
      <c r="E99" s="50" t="s">
        <v>105</v>
      </c>
    </row>
    <row r="100" spans="1:8">
      <c r="A100" s="49"/>
      <c r="C100" s="74" t="s">
        <v>105</v>
      </c>
      <c r="D100" s="74" t="s">
        <v>105</v>
      </c>
      <c r="E100" s="50" t="s">
        <v>105</v>
      </c>
      <c r="F100" s="111" t="s">
        <v>105</v>
      </c>
      <c r="G100" s="112" t="s">
        <v>105</v>
      </c>
      <c r="H100" s="112" t="s">
        <v>105</v>
      </c>
    </row>
  </sheetData>
  <autoFilter ref="A1:E100" xr:uid="{00000000-0009-0000-0000-000005000000}"/>
  <dataValidations count="3">
    <dataValidation type="list" allowBlank="1" showErrorMessage="1" sqref="D2:D100" xr:uid="{00000000-0002-0000-0500-000000000000}">
      <formula1>$G$2:$G100</formula1>
    </dataValidation>
    <dataValidation type="list" allowBlank="1" showErrorMessage="1" sqref="E2:E100" xr:uid="{00000000-0002-0000-0500-000001000000}">
      <formula1>$H$2:$H100</formula1>
    </dataValidation>
    <dataValidation type="list" allowBlank="1" showErrorMessage="1" sqref="C2:C100" xr:uid="{00000000-0002-0000-0500-000002000000}">
      <formula1>$F$2:$F100</formula1>
    </dataValidation>
  </dataValidation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Rebecca Fuentes</cp:lastModifiedBy>
  <cp:revision/>
  <dcterms:created xsi:type="dcterms:W3CDTF">2024-06-16T18:10:47Z</dcterms:created>
  <dcterms:modified xsi:type="dcterms:W3CDTF">2024-06-16T18:10:47Z</dcterms:modified>
  <cp:category/>
  <cp:contentStatus/>
</cp:coreProperties>
</file>